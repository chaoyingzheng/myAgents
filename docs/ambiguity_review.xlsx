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aoy\Desktop\2026\"/>
    </mc:Choice>
  </mc:AlternateContent>
  <bookViews>
    <workbookView xWindow="0" yWindow="0" windowWidth="19200" windowHeight="6350" activeTab="1"/>
  </bookViews>
  <sheets>
    <sheet name="Instructions" sheetId="1" r:id="rId1"/>
    <sheet name="Review" sheetId="2" r:id="rId2"/>
  </sheets>
  <definedNames>
    <definedName name="_xlnm._FilterDatabase" localSheetId="1" hidden="1">Review!$A$1:$J$51</definedName>
  </definedNames>
  <calcPr calcId="162913"/>
</workbook>
</file>

<file path=xl/calcChain.xml><?xml version="1.0" encoding="utf-8"?>
<calcChain xmlns="http://schemas.openxmlformats.org/spreadsheetml/2006/main">
  <c r="B24" i="1" l="1"/>
  <c r="B23" i="1"/>
  <c r="B22" i="1"/>
</calcChain>
</file>

<file path=xl/comments1.xml><?xml version="1.0" encoding="utf-8"?>
<comments xmlns="http://schemas.openxmlformats.org/spreadsheetml/2006/main">
  <authors>
    <author>Claude</author>
  </authors>
  <commentList>
    <comment ref="F1" authorId="0" shapeId="0">
      <text>
        <r>
          <rPr>
            <sz val="11"/>
            <color theme="1"/>
            <rFont val="Calibri"/>
            <family val="2"/>
            <scheme val="minor"/>
          </rPr>
          <t>FinanceReasoning: the dataset's Python reference solution. GSM-Symbolic: the dataset's worked solution. Source: BUPT-Reasoning-Lab/FinanceReasoning (hard.json) and apple/GSM-Symbolic (p2) on Hugging Face.</t>
        </r>
      </text>
    </comment>
  </commentList>
</comments>
</file>

<file path=xl/sharedStrings.xml><?xml version="1.0" encoding="utf-8"?>
<sst xmlns="http://schemas.openxmlformats.org/spreadsheetml/2006/main" count="247" uniqueCount="182">
  <si>
    <t>Ambiguity review: Money Math eval set (50 questions)</t>
  </si>
  <si>
    <t>Goal: a human label for each question. Is it materially AMBIGUOUS? These labels are ground truth for checking the LLM judge (flags_ambiguity).</t>
  </si>
  <si>
    <t>Definition: mark Y if a careful reader could reasonably interpret the question in 2+ ways that give answers more than ~1% apart.</t>
  </si>
  <si>
    <t>Examples: what a percentage applies to; whether a discount also reduces fees; rounding direction (74.5 -&gt; 74 or 75); sign convention (sell = negative?).</t>
  </si>
  <si>
    <t>Ignore far-fetched readings and pure arithmetic difficulty. Hard is not the same as ambiguous.</t>
  </si>
  <si>
    <t>How to fill in (on the 'Review' sheet): only the YELLOW columns.</t>
  </si>
  <si>
    <t xml:space="preserve">  Ambiguous?          -&gt; Y or N (dropdown)</t>
  </si>
  <si>
    <t xml:space="preserve">  Alternative reading -&gt; if Y: the other reasonable interpretation, in a few words</t>
  </si>
  <si>
    <t xml:space="preserve">  Alt. answer         -&gt; optional: the number that alternative reading gives</t>
  </si>
  <si>
    <t xml:space="preserve">  Notes               -&gt; optional: anything else (e.g. 'label looks wrong')</t>
  </si>
  <si>
    <t>The review is blind: the sheet does NOT show the LLM judge's verdicts or the models' answers, so they can't anchor your call.</t>
  </si>
  <si>
    <t>The expected answer and reference solution are shown so you can see which reading the dataset authors intended.</t>
  </si>
  <si>
    <t>Example of a filled row (from dataset v1, not in this sheet):</t>
  </si>
  <si>
    <t xml:space="preserve">  Ambiguous? = Y | Alternative reading = 'fees on the list price ($600k) instead of the discounted price' | Alt. answer = 108000 | Notes = 'answer key assumes fees on the discounted price'</t>
  </si>
  <si>
    <t>Progress</t>
  </si>
  <si>
    <t>Questions labeled</t>
  </si>
  <si>
    <t>Marked ambiguous (Y)</t>
  </si>
  <si>
    <t>Total questions</t>
  </si>
  <si>
    <t>#</t>
  </si>
  <si>
    <t>Question ID</t>
  </si>
  <si>
    <t>Source</t>
  </si>
  <si>
    <t>Question (incl. any table context)</t>
  </si>
  <si>
    <t>Expected answer</t>
  </si>
  <si>
    <t>Reference solution (dataset)</t>
  </si>
  <si>
    <t>Ambiguous? (Y/N)</t>
  </si>
  <si>
    <t>Alternative reading</t>
  </si>
  <si>
    <t>Alt. answer</t>
  </si>
  <si>
    <t>Notes</t>
  </si>
  <si>
    <t>finreason-test-2083</t>
  </si>
  <si>
    <t>finreason_hard</t>
  </si>
  <si>
    <t>XYZ Manufacturing Inc. is a publicly traded company that wants to evaluate its financial health using the Z-score model to estimate the likelihood of bankruptcy. The company has the following financial data at the end of the fiscal year:
- Working Capital: $240,000
- Total Assets: $1,200,000
- Retained Earnings: $350,000
- Earnings Before Interest and Tax (EBIT): $150,000
- Market Value of Equity: $850,000
- Total Liabilities: $600,000
- Sales: $750,000
Utilizing this financial data, XYZ Manufacturing Inc. wishes to determine its Z-score as a measure to estimate the probability of facing bankruptcy within the next two years.
Question: What is the Z-score for XYZ Manufacturing Inc. using the provided financial metrics? Round your answer to two decimal places.</t>
  </si>
  <si>
    <t>def solution():
    # Define the financial variables with their values
    working_capital = 240000
    total_assets = 1200000
    retained_earnings = 350000
    earnings_before_interest_and_tax = 150000
    market_value_of_equity = 850000
    total_liabilities = 600000
    sales = 750000
    # Calculate the individual components of the Z-score
    A = working_capital / total_assets
    B = retained_earnings / total_assets
    C = earnings_before_interest_and_tax / total_assets
    D = market_value_of_equity / total_liabilities
    E = sales / total_assets
    # Compute the Z-score using the weights
    z_score = 1.2 * A + 1.4 * B + 3.3 * C + 0.6 * D + E
    # Return the Z-score, rounded to two decimal places
    return round(z_score, 2)
# Call the solution function to compute the result
z_score_result = solution()
z_score_result</t>
  </si>
  <si>
    <t>finreason-test-2038</t>
  </si>
  <si>
    <t>The full-employment gross domestic product is $1.3 trillion, and the actual gross domestic product is $1.2 trillion. The marginal propensity to consume is 0.8. When inflation is ignored, what increase in government expenditures is necessary to produce full employment? Answer in billions of dollars.</t>
  </si>
  <si>
    <t>full_employment_gdp = 1.3 * 10**12
actual_gdp = 1.2 * 10**12
mpc = 0.8
gdp_diff = full_employment_gdp - actual_gdp
spending = (1 - mpc) * gdp_diff / 10**9
round(spending)</t>
  </si>
  <si>
    <t>finreason-test-2103</t>
  </si>
  <si>
    <t>John is considering taking out a personal loan to fund his startup business. He plans to borrow $150,000 with an annual interest rate of 6%. He agrees to pay off the loan over 10 years with monthly payments. Before signing the agreement, John wants to calculate the monthly payment he will need to make if the loan uses a reducing balance method, which could help lower overall interest costs.
Question: What will be the amount of the Equated Monthly Installment (EMI) John needs to pay for the loan? Answer to the nearest cent.</t>
  </si>
  <si>
    <t>def solution():
    # Define the loan parameters
    principal = 150000  # The principal amount borrowed
    annual_interest_rate = 0.06  # Annual interest rate as a decimal
    total_payments = 10 * 12  # Total payments over 10 years (monthly)
    # Calculate the monthly interest rate
    monthly_interest_rate = annual_interest_rate / 12
    # Calculate the EMI using the reducing balance method
    if monthly_interest_rate == 0:
        emi = principal / total_payments
    else:
        emi = principal * (monthly_interest_rate * (1 + monthly_interest_rate) ** total_payments) / \
              ((1 + monthly_interest_rate) ** total_payments - 1)
    # Return the EMI rounded to the nearest cent
    return round(emi, 2)
# Call the solution function and simulate returning the answer
solution()</t>
  </si>
  <si>
    <t>finreason-test-2169</t>
  </si>
  <si>
    <t>A trader is analyzing the performance of stock ABC over the past 20 days to identify potential reversal points using the Williams %R indicator. The trader has recorded the following prices for the past 20 trading days:
High Prices: [120, 122, 121, 119, 123, 125, 126, 127, 126, 124, 123, 122, 121, 120, 119, 118, 120, 121, 122, 123]
Low Prices: [115, 116, 117, 115, 118, 119, 120, 121, 122, 120, 119, 118, 116, 115, 114, 113, 114, 115, 116, 118]
Closing Prices: [117, 118, 119, 117, 120, 123, 124, 122, 123, 121, 120, 119, 118, 117, 116, 115, 118, 120, 121, 122]
The trader decides to use a 14-day period to calculate the Williams %R to determine whether the stock is currently overbought or oversold. The trader is particularly interested in the Williams %R value of the most recent period (the 20th day).
Question: What is the Williams %R value for stock ABC on the 20th day, using the 14-day period? Answer as a percentage to two decimal places.</t>
  </si>
  <si>
    <t>def solution():
    # Input data for the problem
    high_prices = [120, 122, 121, 119, 123, 125, 126, 127, 126, 124, 123, 122, 121, 120, 119, 118, 120, 121, 122, 123]
    low_prices = [115, 116, 117, 115, 118, 119, 120, 121, 122, 120, 119, 118, 116, 115, 114, 113, 114, 115, 116, 118]
    closing_prices = [117, 118, 119, 117, 120, 123, 124, 122, 123, 121, 120, 119, 118, 117, 116, 115, 118, 120, 121, 122]
    period = 14
    # Calculate Williams %R for the last period
    index = len(closing_prices) - period  # Starting index for the last 14-day period
    highest_high = max(high_prices[index:index + period])
    lowest_low = min(low_prices[index:index + period])
    current_close = closing_prices[index + period - 1]
    # Calculate Williams %R
    williams_r = ((highest_high - current_close) / (highest_high - lowest_low)) * -100
    # Return the answer as a percentage to two decimal places
    return round(williams_r, 2)</t>
  </si>
  <si>
    <t>finreason-test-2012</t>
  </si>
  <si>
    <t>['| ($ thousands)             |       | 2014 | 2013 |\n|---------------------------|-------|------|------|\n| Sales                     |       | 2125 | 2003 |\n| End of year inventories (LIFO) |       | 312  | 280  |\n| LIFO reserve              |       | 82   | 64   |\n| Net profit margin         |       | 4.9% | 4.0% |']
Question: If a corporation switches from last-in, first-out (LIFO) to first-in, first-out (FIFO), how much higher would the net income (in $ thousands) for 2014 be, considering that the corporate tax rate for the current and all previous years has been 30% according to the data collected by a data analyst? Answer to a single decimal place.</t>
  </si>
  <si>
    <t>def solution():
    net_profit_margin = 0.049
    sales = 2125
    tax_rate = 0.3
    lifo_reserve_2014 = 82
    lifo_reserve_2013 = 64
    net_income_lifo = net_profit_margin * sales
    change_in_lifo_reserve = lifo_reserve_2014 - lifo_reserve_2013
    net_income_fifo = net_income_lifo + change_in_lifo_reserve * (1 - tax_rate)
    increase_in_net_income = net_income_fifo - net_income_lifo
    return increase_in_net_income</t>
  </si>
  <si>
    <t>finreason-test-2018</t>
  </si>
  <si>
    <t>An investor is analyzing the price trend of a particular stock over the past few weeks. To capture the latest price trends and smooth out fluctuations, the investor decides to calculate the 10-day Exponential Moving Average (EMA) of the stock's closing prices. The closing prices for 12 consecutive trading days are as follows: [150, 152, 153, 151, 154, 155, 158, 160, 162, 164, 166, 165]. The investor wishes to compute the latest EMA to make informed trading decisions.
Question: What is the 10-day Exponential Moving Average (EMA) of the stock based on the given closing prices? Answer to two decimal places.</t>
  </si>
  <si>
    <t>def solution():
    # Given closing prices and EMA period
    values = [150, 152, 153, 151, 154, 155, 158, 160, 162, 164, 166, 165]
    days = 10
    # Calculate the smoothing factor
    k = 2 / (days + 1)
    # Calculate the initial simple moving average for the first 'days' prices
    sma = sum(values[:days]) / days
    # Initialize EMA with the SMA
    ema = sma
    # Calculate EMA starting from the 'days'th data point
    for i in range(days, len(values)):
        ema = values[i] * k + ema * (1 - k)
    # Return the final EMA rounded to two decimal places
    return round(ema, 2)</t>
  </si>
  <si>
    <t>finreason-test-2213</t>
  </si>
  <si>
    <t>A financial analyst at an investment firm is studying the relationship between the monthly returns of a tech sector stock and a market index to understand how closely the stock's returns are correlated to the broader market. The analyst has collected the following data over the past six months:
- Tech Stock Returns (%): `[5.2, 3.8, 4.9, 2.7, 6.5, 3.3]`
- Market Index Returns (%): `[4.1, 3.9, 5.0, 2.5, 6.0, 3.7]`
The analyst wants to compute the Pearson correlation coefficient to determine the correlation between the returns of the tech stock and the market index.
Question: What is the Pearson correlation coefficient between the monthly returns of the tech stock and the market index? Answer to four decimal places.</t>
  </si>
  <si>
    <t>def solution():
    # Define the tech stock and market index returns
    tech_stock_returns = [5.2, 3.8, 4.9, 2.7, 6.5, 3.3]
    market_index_returns = [4.1, 3.9, 5.0, 2.5, 6.0, 3.7]
    # Calculate necessary sums for the Pearson correlation formula
    n = len(tech_stock_returns)
    sum_x = sum(tech_stock_returns)
    sum_y = sum(market_index_returns)
    sum_xy = sum(x * y for x, y in zip(tech_stock_returns, market_index_returns))
    sum_x_squared = sum(x ** 2 for x in tech_stock_returns)
    sum_y_squared = sum(y ** 2 for y in market_index_returns)
    # Calculate the numerator and denominator for the Pearson correlation coefficient
    numerator = n * sum_xy - sum_x * sum_y
    denominator = ((n * sum_x_squared - sum_x ** 2) * (n * sum_y_squared - sum_y ** 2)) ** 0.5
    # Handle potential division by zero
    if denominator == 0:
        raise ValueError("Denominator in correlation calculation is zero, which may indicate zero variance.")
    # Calculate the Pearson correlation coefficient
    correlation_coefficient = numerator / denominator
    # Return the correlation coefficient rounded to four decimal places
    return round(correlation_coefficient, 4)</t>
  </si>
  <si>
    <t>finreason-test-2140</t>
  </si>
  <si>
    <t>["|                                           |                    |  2008   |                   |  2007   |\n|-------------------------------------------|--------------------|---------|-------------------|---------|\n| **As of 31 December**                     |                    |         |                   |         |\n| **Assets**                                |                    |         |                   |         |\n| Current assets                            |                    |         |                   |         |\n| Cash and cash equivalents                 |                    |   $372  |                   |  $315   |\n| Accounts receivable                       |                    |   $770  |                   |  $711   |\n| Inventories                               |                    |   $846  |                   |  $780   |\n| Total current assets                      |                    |  $1,988 |                   |  $1,806 |\n| Gross fixed assets                        |   $4,275           |         |   $3,752          |         |\n| Less: Accumulated depreciation            |   $1,176           |  $3,099 |   $906            |  $2,846 |\n| **Total assets**                          |                    |  $5,087 |                   |  $4,652 |\n| **Liabilities and shareholders' equity**  |                    |         |                   |         |\n| Current liabilities                       |                    |         |                   |         |\n| Accounts payable                          |                    |  $476   |                   |  $443   |\n| Accrued taxes and expenses                |                    |  $149   |                   |  $114   |\n| Notes payable                             |                    |  $465   |                   |  $450   |\n| Total current liabilities                 |                    |  $1,090 |                   |  $1,007 |\n| Long-term debt                            |                    |  $1,575 |                   |  $1,515 |\n| Common stock                              |                    |  $525   |                   |  $525   |\n| Retained earnings                         |                    |  $1,897 |                   |  $1,605 |\n| **Total liabilities and shareholders' equity** |              |  $5,087 |                   |  $4,652 |", '|   |   |\n|---|---|\n| Total revenues | $3,323 |\n| Cost  of goods  sold | 1,287 |\n| Selling, general, and administrative expenses | 858 |\n| Earnings before interest, taxes, depreciation, and amortization (EBITDA) | 1,178 |\n| Depreciation expense | 270 |\n| Operating income | 908 |\n| Interest expense | 195 |\n| Pretax income | 713 |\n| Income tax (at 32 percent) | 228 |\n| Net income | $485 |']
Question: Using the 2007 and 2008 financial reports for Holt Corporation, which are presented in Exhibits 1 and 2 and in line with US GAAP, what is Holt's 2008 FCFE (in millions) as Jake Thompson is preparing a presentation to analyze the valuation of this company and Emerald Corp's common stock using a FCFE model? Thompson also plans to do a value estimate for Emerald through a dividend discount model for potential recommendations to his firm. Answer to a single decimal place.</t>
  </si>
  <si>
    <t>def solution():
    NI = 485
    NCC = 270
    FCInv = 4275 - 3752
    WCInv = (1988 - 1806) - (1090 - 1007)
    Net_borrowing = (465 - 450) + (1575 - 1515)
    FCFE = NI + NCC - FCInv - WCInv + Net_borrowing
    return FCFE</t>
  </si>
  <si>
    <t>finreason-test-2024</t>
  </si>
  <si>
    <t>A portfolio manager is evaluating the expected return of a new technology fund using a multi-factor model. The model includes an intercept of 0.02 and considers a market return of 5% for the period. The fund's exposure to various macroeconomic factors includes a technology index return of 3% and an interest rate sensitivity with a return of -1%. The betas with respect to these factors are 1.2 for the market, 0.8 for the technology index, and -0.5 for the interest rate factor. Additionally, the model accounts for an error term of 0.01 to capture unexplained variations in the fund's performance.
Question: What is the expected return of the technology fund according to the multi-factor model? Answer as a percentage to two decimal places.</t>
  </si>
  <si>
    <t>def solution():
    # Define variables and their values based on the problem context
    intercept = 0.02
    market_return = 0.05
    factor_returns = [0.03, -0.01]  # Technology index return and interest rate factor return
    betas = [1.2, 0.8, -0.5]  # Betas for market, technology index and interest rate factor
    error_term = 0.01
    # Calculate expected return
    expected_return = intercept
    expected_return += betas[0] * market_return
    # Add contribution from each factor
    for i in range(len(factor_returns)):
        expected_return += betas[i + 1] * factor_returns[i]
    # Add the error term
    expected_return += error_term
    # Return the result as a percentage
    return round(expected_return * 100, 2)
# Uncomment the following line to test the solution in a Python environment
# print(solution())</t>
  </si>
  <si>
    <t>finreason-test-2095</t>
  </si>
  <si>
    <t>A financial analyst is evaluating the performance of two mutual funds, Fund A and Fund B, to determine their relationship in terms of returns over a set period. The returns for Fund A over four consecutive quarters are 0.05, 0.02, -0.03, and 0.04. Meanwhile, the returns for Fund B during the same quarters are 0.06, 0.01, -0.02, and 0.03. The analyst wants to calculate the covariance of returns between these two funds to understand how they move in relation to each other.
Question: What is the covariance of the returns between Fund A and Fund B? Answer as a float to three decimal places.</t>
  </si>
  <si>
    <t>def solution():
    # Returns for Fund A and Fund B
    returns_a = [0.05, 0.02, -0.03, 0.04]
    returns_b = [0.06, 0.01, -0.02, 0.03]
    # Calculate means of returns for both funds
    mean_a = sum(returns_a) / len(returns_a)
    mean_b = sum(returns_b) / len(returns_b)
    # Calculate covariance
    covariance = sum((a - mean_a) * (b - mean_b) for a, b in zip(returns_a, returns_b)) / (len(returns_a) - 1)
    # Return the covariance rounded to three decimal places
    return round(covariance, 3)</t>
  </si>
  <si>
    <t>finreason-test-2152</t>
  </si>
  <si>
    <t>['| Time-to-Maturity | Spot rates |\n|-----------------|------------|\n| 1-year            | 7%             |\n| 2-year            | 8%             |\n| 3-year            | 9%             |']
Question: The time-to-maturity for Bond D is 3 years and it has a coupon rate of 8%. The bond has a face value of 100. The annual payments of interest can be seen. Given the depicted spot rates, what would be the price of Bond D using these spot rates? Answer to three decimal places.</t>
  </si>
  <si>
    <t>def solution():
    PMT = 8
    Par = 100
    S1 = 0.07
    S2 = 0.08
    S3 = 0.09
    PV = PMT/(1+S1) + PMT/((1+S2)**2) + (PMT+Par)/((1+S3)**3)
    return PV</t>
  </si>
  <si>
    <t>finreason-test-2014</t>
  </si>
  <si>
    <t>John purchased a home on January 10, 2020, and took out a mortgage with a total debt of $900,000. During the tax year, he paid a total interest of $36,000 on this mortgage. John is filing his taxes as a single taxpayer and is curious to calculate how much of the interest he paid will be deductible on his tax return.
Question: What is the deductible amount of mortgage interest that John can claim on his tax return for the year? Answer to the nearest dollar.</t>
  </si>
  <si>
    <t>def solution():
    # Given values
    interest_paid = 36000  # Total interest paid by John
    mortgage_debt = 900000  # Total mortgage debt
    acquisition_date = "2020-01-10"
    filing_status = "single"
    # Determine debt limits based on acquisition date and filing status
    limit_old = 1000000 if filing_status != 'married filing separately' else 500000
    limit_new = 750000 if filing_status != 'married filing separately' else 375000
    cutoff_date = "2017-12-15"
    # Determine applicable debt limit
    if acquisition_date &lt;= cutoff_date:
        applicable_limit = limit_old
    else:
        applicable_limit = limit_new
    # Calculate deductible interest based on debt limits
    if mortgage_debt &lt;= applicable_limit:
        deductible_interest = interest_paid
    else:
        # Proportionally reduce the deduction
        deductible_interest = interest_paid * (applicable_limit / mortgage_debt)
    # Return the deductible interest rounded to the nearest dollar
    return round(deductible_interest)
# Executing the solution function to test it
solution()</t>
  </si>
  <si>
    <t>finreason-test-2132</t>
  </si>
  <si>
    <t>[]
Question: Assuming the going rate for the base asset at present is $50, with the risk-free rate being 4%, and the contract ends in three months. If the current value of the advantages is $5, and the current value of the disadvantages is $6. What would be the forward price (calculated using annual compounding rather than continuous compounding)? Answer to three decimal places.</t>
  </si>
  <si>
    <t>def solution():
    T = 3 / 12
    s0 = 50
    r = 0.04
    q1 = 5
    q2 = 6
    forward_price = s0 * ((1+r)**T) - ((q1 - q2) * ((1+r)**T))
    return forward_price</t>
  </si>
  <si>
    <t>finreason-test-2054</t>
  </si>
  <si>
    <t>John is considering taking out a fixed-rate loan to purchase a car. The loan amount he needs is $25,000. The bank offers him a fixed annual interest rate of 5% with a loan term of 5 years. John wants to know how much he will need to pay monthly to fully pay off the loan by the end of the term.
Question: What is the fixed monthly payment John needs to make to fully amortize the $25,000 loan over 5 years at an annual interest rate of 5%? Answer to the nearest cent.</t>
  </si>
  <si>
    <t>def solution():
    # Define the given loan details
    principal = 25000  # Loan amount in dollars
    annual_interest_rate = 0.05  # Annual interest rate as a decimal
    years = 5  # Loan term in years
    # Calculate the monthly interest rate and the total number of payments
    monthly_interest_rate = annual_interest_rate / 12
    number_of_payments = years * 12
    # Check special case for zero interest rate
    if monthly_interest_rate == 0:
        monthly_payment = principal / number_of_payments
    else:
        # Calculate the monthly payment using the annuity formula
        monthly_payment = (principal * monthly_interest_rate) / (1 - (1 + monthly_interest_rate) ** -number_of_payments)
    # Return the monthly payment rounded to the nearest cent
    return round(monthly_payment, 2)
# Output the solution
solution()</t>
  </si>
  <si>
    <t>finreason-test-2009</t>
  </si>
  <si>
    <t>A global investor is exploring a currency carry trade strategy. The investor plans to borrow funds in Japan, where the interest rate is extremely low at 0.5% per annum, and invest these funds in Brazil, where the interest rate is much higher at 5% per annum. The investor borrows 1,000,000 Japanese Yen and converts this amount into Brazilian Reals using an exchange rate of 0.05. The investor holds the investment for one year, assuming that the exchange rate remains stable during this period.
Question: What is the profit from this carry trade in Brazilian Reals? Answer to the nearest integer.</t>
  </si>
  <si>
    <t>def solution():
    # Define the initial variables with provided values
    borrowed_amount_jpy = 1_000_000  # Amount borrowed in Japanese Yen
    borrowing_rate = 0.005  # 0.5% per annum interest rate for borrowed currency
    investment_rate = 0.05  # 5% per annum interest rate for invested currency
    exchange_rate = 0.05  # Exchange rate from JPY to BRL
    # Calculate the amount in Brazilian Reals after conversion
    invested_amount_brl = borrowed_amount_jpy * exchange_rate
    # Calculate the ending balance after investment
    ending_balance_brl = invested_amount_brl * (1 + investment_rate)
    # Calculate the amount owed back in Japanese Yen
    amount_owed_jpy = borrowed_amount_jpy * (1 + borrowing_rate)
    # Convert the amount owed from JPY back to BRL
    amount_owed_brl = amount_owed_jpy * exchange_rate
    # Calculate the profit in Brazilian Reals
    profit_brl = ending_balance_brl - amount_owed_brl
    # Return the profit rounded to the nearest integer
    return round(profit_brl)
# Execute the solution function
solution()</t>
  </si>
  <si>
    <t>finreason-test-2022</t>
  </si>
  <si>
    <t>Crestwood Manufacturing is evaluating its overall cost of financing to make strategic decisions about future investments. The company has a market value of equity currently standing at 15 million dollars and a market value of debt amounting to 5 million dollars. The expected return required by equity investors, or the cost of equity, is 12%. Crestwood has managed to negotiate a cost of debt at an effective rate of 5%. The corporate tax rate applicable to the company is 25%.
In order to proceed with its investment plans, the company wants to accurately understand its Weighted Average Cost of Capital (WACC), which will give Crestwood a clearer view of the minimum return it needs from investments to maintain its market value.
Question: What is the Weighted Average Cost of Capital (WACC) for Crestwood Manufacturing? Answer as a percentage to two decimal places.</t>
  </si>
  <si>
    <t>def solution():
    # Define the market values and costs
    equity_market_value = 15000000  # in dollars
    debt_market_value = 5000000     # in dollars
    cost_of_equity = 0.12           # 12%
    cost_of_debt = 0.05             # 5%
    tax_rate = 0.25                 # 25%
    # Calculate total market value
    total_value = equity_market_value + debt_market_value
    # Calculate the weight of equity and debt
    equity_weight = equity_market_value / total_value
    debt_weight = debt_market_value / total_value
    # Compute the after-tax cost of debt
    after_tax_cost_of_debt = cost_of_debt * (1 - tax_rate)
    # Calculate the WACC
    wacc = (equity_weight * cost_of_equity) + (debt_weight * after_tax_cost_of_debt)
    # Convert to percentage and round to two decimal places
    wacc_percentage = wacc * 100
    # Return the final WACC as a percentage to two decimal places
    return round(wacc_percentage, 2)
# Calling the solution function
solution()</t>
  </si>
  <si>
    <t>finreason-test-2113</t>
  </si>
  <si>
    <t>A corporation is considering calling one of its outstanding bonds before maturity using a make-whole call provision. The bond has three remaining annual coupon payments of 5,000 each, and a principal amount of 100,000 to be paid at maturity. The applicable Treasury yield for a comparable bond is 2.5%, and the corporation's required spread over this Treasury yield is 1.2%.
Question: Calculate the make-whole call price for the bond. Answer to the nearest whole number.</t>
  </si>
  <si>
    <t>def solution():
    # Define the parameters of the bond
    remaining_payments = [5000, 5000, 5000]  # Remaining annual coupon payments
    principal = 100000  # Principal amount to be paid at maturity
    treasury_yield = 0.025  # Treasury yield as a decimal (2.5%)
    spread = 0.012  # Required spread as a decimal (1.2%)
    # Calculate the discount rate
    discount_rate = treasury_yield + spread
    # Calculate the present value of the remaining coupon payments
    make_whole_price = sum(cf / ((1 + discount_rate) ** (i + 1)) for i, cf in enumerate(remaining_payments))
    # Add the present value of the principal amount
    make_whole_price += principal / ((1 + discount_rate) ** len(remaining_payments))
    # Return the calculated make-whole call price, rounded to the nearest whole number
    return round(make_whole_price)</t>
  </si>
  <si>
    <t>finreason-test-2109</t>
  </si>
  <si>
    <t>[]
Question: A retirement fund worth $100 million currently consists of 80% shares and 20% bonds. The beta of the shares section is 1.2, with the term of the bonds part being 5.0. How many stock index futures need to be purchased in order to shift the distribution to 60% shares and 40% bonds? Refer to the additional data: The value of the stock index stands at 1,200, the multiplier is $250, and the beta equals 0.95. The cost of a bond futures agreement is $105,300, which carries an underlying adjusted duration of 6.5. Answer to three decimal places.</t>
  </si>
  <si>
    <t>def solution():
    current_value = 100000000
    current_shares_value = 0.8 * current_value
    target_shares_value = 0.6 * current_value
    shares_value_to_be_shifted = current_shares_value - target_shares_value
    beta_shares = 1.2
    beta_stock_index = 0.95
    stock_index_value = 1200
    contract_price = 250
    number_of_contracts = (0-beta_shares/beta_stock_index)*(shares_value_to_be_shifted/(stock_index_value * contract_price))
    return number_of_contracts</t>
  </si>
  <si>
    <t>finreason-test-2017</t>
  </si>
  <si>
    <t>Jane participates in her company's Employee Stock Purchase Plan (ESPP) which offers a 15% discount on stock purchases. She bought 200 shares at a purchase price of $40 per share. After holding the shares for 18 months, she decides to sell them at $55 per share. The IRS mandates that any share held less than two years must have its gain treated entirely as ordinary income. Jane needs to calculate the taxable income from this transaction to determine her tax liability.
Question: What is the taxable income from Jane's ESPP transaction? Answer to the nearest dollar.</t>
  </si>
  <si>
    <t>def solution():
    # Define the given variables
    purchase_price = 40.0  # Purchase price per share in dollars
    sale_price = 55.0  # Sale price per share in dollars
    shares = 200  # Number of shares
    discount = 0.15  # ESPP discount
    holding_period = 1.5  # Holding period in years (less than 2)
    # Calculate the discounted purchase price per share
    discounted_purchase_price = purchase_price * (1 - discount)
    # Calculate the total gain from selling the shares
    total_gain = (sale_price - discounted_purchase_price) * shares
    # Since the holding period is less than 2 years, treat the entire gain as ordinary income
    taxable_income = total_gain
    # Return the answer rounded to the nearest dollar
    return round(taxable_income)
# Testing the solution function
print(solution())</t>
  </si>
  <si>
    <t>finreason-test-2062</t>
  </si>
  <si>
    <t>['| Year | ROE   |\n|------|-------|\n| 2013 | 12.00%|\n| 2014 | 13.10%|\n| 2015 | 10.55%|\n| 2016 | 11.20%|\n| 2017 | 12.05%|']
Question: The small securities company's research department director, Brian, is in charge of a team that includes 2 junior analysts using the relative value approach to determine a company's worth. Brian informed the 2 junior analysts that using the earnings from the latest 4 quarters may not accurately reflect cyclical companies' long-term earning potential. Therefore, they may find significantly different P/E ratios even though the company's business outlook remains the same. Brian suggested using normalized EPS to solve this issue. Having gathered information about the company throughout the most recent complete cycle, the 2 junior analysts found that the company's balance sheet reveals total assets worth 2100 million and total liabilities of 1200 million. The value of the preferred equity is $120 million, and there are 32 million common shares outstanding. Given this information, what is the company's normalized EPS? Answer to three decimal places.</t>
  </si>
  <si>
    <t>def solution():
    total_assets = 2100
    total_liabilities = 1200
    preferred_equity = 120
    common_shares = 32
    roe_values = [12.00, 13.10, 10.55, 11.20, 12.05]
    average_roe = sum(roe_values) / len(roe_values)
    total_shareholder_equity = total_assets - total_liabilities
    common_equity_value = total_shareholder_equity - preferred_equity
    bvps = common_equity_value / common_shares
    normalized_eps = (average_roe / 100) * bvps
    return normalized_eps</t>
  </si>
  <si>
    <t>finreason-test-2023</t>
  </si>
  <si>
    <t>An investor is considering purchasing options to profit from potential market movements. They decide to buy put options on TechCo, whose current stock price is $150 per share. The investor buys 5 put option contracts, each with a strike price of $145 and a premium of $3.25 per share. At expiration, TechCo's stock price drops to $140 per share. Each option contract represents 100 shares. The investor wants to know the profit or loss from this options trade.
Question: What is the investor's net profit or loss from the put options on TechCo at expiration, given that each contract represents 100 shares? Answer in dollars to the nearest integer.</t>
  </si>
  <si>
    <t>def solution():
    # Define variables based on the problem statement
    call = False  # Put option
    current_price = 150  # Current price of the stock
    strike_price = 145  # Strike price of the put option
    premium_per_share = 3.25  # Premium paid per share
    contracts = 5  # Number of option contracts
    expiration_price = 140  # Price of the stock at expiration
    # Additional parameters for calculation
    shares_per_contract = 100
    total_shares = shares_per_contract * contracts
    total_premium = premium_per_share * total_shares
    # Calculate intrinsic value for a put option
    intrinsic_value = max(0, strike_price - expiration_price)
    # Calculate total intrinsic value and profit or loss
    total_intrinsic_value = intrinsic_value * total_shares
    profit_or_loss = total_intrinsic_value - total_premium
    # Return the final result
    return round(profit_or_loss)
# Implement the solution function to solve the problem
solution()</t>
  </si>
  <si>
    <t>finreason-test-2144</t>
  </si>
  <si>
    <t>A young professional is evaluating his creditworthiness to apply for a mortgage. His financial advisor collects data on his credit behavior and assigns a percentage rating to several aspects of his credit profile: a payment history of 90%, accounts owed at 65%, a length of credit history of 70%, a credit mix at 80%, and new credit at 50%. These factors help approximate a FICO score, which weighs each aspect differently: 35% for payment history, 30% for accounts owed, 15% for the length of credit history, 10% for credit mix, and 10% for new credit.
Question: What is the approximate FICO score of this individual based on the given factors? Answer to the nearest integer.</t>
  </si>
  <si>
    <t>def solution():
    # Define the input percentages for each factor
    payment_history = 90
    accounts_owed = 65
    length_of_credit_history = 70
    credit_mix = 80
    new_credit = 50
    # Define the weights for each factor
    payment_history_weight = 0.35
    accounts_owed_weight = 0.30
    length_of_credit_history_weight = 0.15
    credit_mix_weight = 0.10
    new_credit_weight = 0.10
    # Perform the FICO score calculation
    fico_score = (payment_history * payment_history_weight +
                  accounts_owed * accounts_owed_weight +
                  length_of_credit_history * length_of_credit_history_weight +
                  credit_mix * credit_mix_weight +
                  new_credit * new_credit_weight)
    # Return the FICO score rounded to the nearest integer
    return round(fico_score)
# The calculated FICO score will be returned when the solution function is called.
print(solution())  # Expected output: An integer representing the calculated FICO score</t>
  </si>
  <si>
    <t>finreason-test-2110</t>
  </si>
  <si>
    <t>A financial institution enters into an interest rate swap agreement with a corporate client. The agreement specifies that the corporate client will pay a fixed interest rate of 2.5% per annum, while the financial institution will pay a variable rate, which is the SOFR plus a spread of 0.35% per annum, commonly expressed as 35 basis points. The swap is based on a notional principal amount of 1,000,000 USD and has a duration of 5 years. Over these 5 years, the annual changes in the SOFR are recorded as follows: Year 1: 1.4%, Year 2: 1.6%, Year 3: 1.8%, Year 4: 2.0%, Year 5: 2.2%.
Both parties want to calculate their total gains or losses over the entire period of the swap agreement.
Question: What is the total gain or loss for the corporate client over the duration of the swap agreement? Answer in USD, rounded to the nearest integer.</t>
  </si>
  <si>
    <t>def solution():
    # Define the known values from the problem context
    notional_principal = 1000000  # USD
    fixed_rate = 0.025  # 2.5% expressed as a decimal
    basis_points = 0.0035  # 35 basis points expressed as a decimal
    sofr_changes = [0.014, 0.016, 0.018, 0.020, 0.022]  # SOFR changes for each year
    years = 5  # Total number of years in the swap agreement
    # Initialize lists to store annual gains or losses
    party_A_gains_losses = []
    party_B_gains_losses = []
    # Calculate the annual gains or losses
    for year in range(years):
        # Calculate variable rate as SOFR change plus basis points
        variable_rate = sofr_changes[year] + basis_points
        # Calculate payments for variable and fixed rates
        variable_payment = notional_principal * variable_rate
        fixed_payment = notional_principal * fixed_rate
        # Calculate annual gain or loss for corporate client (party A)
        party_A_gain_loss = variable_payment - fixed_payment
        party_A_gains_losses.append(party_A_gain_loss)
    # Calculate total gain or loss for corporate client
    total_party_A = sum(party_A_gains_losses)
    # Return the total gain or loss rounded to the nearest integer
    return int(round(total_party_A))</t>
  </si>
  <si>
    <t>finreason-test-2015</t>
  </si>
  <si>
    <t>A stock brokerage firm wants to conduct a Pareto analysis to identify the key factors contributing to customer complaints. The firm has compiled a list of causes for complaints and the number of occurrences for each cause over the last quarter. The causes and their occurrences are as follows:
- Delayed Transactions: 120 occurrences
- Incorrect Statements: 80 occurrences
- Customer Support Delays: 50 occurrences
- High Brokerage Fees: 40 occurrences
- Platform Downtime: 30 occurrences
The firm wants to know what percentage of the total complaints is accounted for by the top two causes, applying the 80-20 rule to assist in resource allocation and problem prioritization.
Question: What percentage of the total customer complaints is accounted for by the top two causes? Answer as a percentage to two decimal places.</t>
  </si>
  <si>
    <t>def solution():
    # Define the causes and occurrences
    causes = [
        "Delayed Transactions",
        "Incorrect Statements",
        "Customer Support Delays",
        "High Brokerage Fees",
        "Platform Downtime"
    ]
    occurrences = [120, 80, 50, 40, 30]
    # Detailed step to perform Pareto analysis manually
    # Step 1: Pair the causes with their occurrences
    cause_impact_pairs = list(zip(causes, occurrences))
    # Step 2: Sort these pairs in descending order of occurrences
    sorted_pairs = sorted(cause_impact_pairs, key=lambda x: x[1], reverse=True)
    # Step 3: Calculate total occurrences
    total_occurrences = sum(occurrences)
    # Step 4: Calculate cumulative percentages
    cumulative_sum = 0
    cumulative_percentages = []
    for cause, occ in sorted_pairs:
        cumulative_sum += occ
        cumulative_percentage = (cumulative_sum / total_occurrences) * 100
        cumulative_percentages.append(cumulative_percentage)
    # Step 5: Find the percentage accounted for by the top two causes
    top_two_cumulative_percentage = cumulative_percentages[1]  # This gets the cumulative percentage after the second element
    # Return the result, rounded to two decimal places
    return round(top_two_cumulative_percentage, 2)
solution()</t>
  </si>
  <si>
    <t>finreason-test-2147</t>
  </si>
  <si>
    <t>John, a successful freelance photographer, recently calculated his total net earnings for the year to be $220,000 from his self-employment activities. John files his taxes as 'single'. He's preparing to pay his Self-Employed Contributions Act (SECA) tax, which includes both Social Security and Medicare taxes, along with an additional Medicare tax for earnings over a certain threshold. For 2023, the Social Security tax applies only to earnings up to $160,200, at a rate of 12.4%. The Medicare tax is applied at a rate of 2.9% for the entire net earnings amount. Additionally, since John is filing as 'single', an extra 0.9% Medicare Tax applies to earnings above $200,000. John wants to know the total SECA tax he needs to pay based on these earnings.
Question: What is the total SECA tax John needs to pay for 2023 based on his net earnings? Provide the answer in dollars to the nearest cent.</t>
  </si>
  <si>
    <t>def solution():
    # Define the given values
    net_earnings = 220000
    social_security_tax_rate = 0.124
    medicare_tax_rate = 0.029
    additional_medicare_tax_rate = 0.009
    social_security_cap = 160200
    additional_medicare_threshold = 200000  # for 'single'
    # Calculate the Social Security tax
    social_security_taxable = min(net_earnings, social_security_cap)
    social_security_tax = social_security_taxable * social_security_tax_rate
    # Calculate the Medicare tax
    medicare_tax = net_earnings * medicare_tax_rate
    # Calculate the additional Medicare tax
    additional_medicare_tax = 0.0
    if net_earnings &gt; additional_medicare_threshold:
        additional_medicare_tax = (net_earnings - additional_medicare_threshold) * additional_medicare_tax_rate
    # Calculate the total SECA tax
    total_seca_tax = social_security_tax + medicare_tax + additional_medicare_tax
    # Return the total SECA tax rounded to the nearest cent
    return round(total_seca_tax, 2)
solution()</t>
  </si>
  <si>
    <t>finreason-test-2031</t>
  </si>
  <si>
    <t>[]
Question: Superior Inc. anticipates paying dividends of $0.5 per share for the upcoming two years. Dividends are predicted to increase at a 6% growth rate after that. Given a 10% rate of return, what is the worth of Superior's common equity? Answer to three decimal places.</t>
  </si>
  <si>
    <t>def solution():
    D01=D02=0.5 
    P02=0.5*(1.06)/(0.1-0.06)
    V= (0.5)/1.1+(0.5+P02)/(1.1**2)
    return V</t>
  </si>
  <si>
    <t>finreason-test-2057</t>
  </si>
  <si>
    <t>A company purchases a new piece of industrial equipment for $120,000. The equipment is expected to have a useful life of 5 years, after which it will have a salvage value of $20,000. The accounting department decides to use the sum-of-years digits method to calculate the yearly depreciation expenses for tax purposes.
Question: What will be the depreciation expense for the third year? Answer to the nearest dollar.</t>
  </si>
  <si>
    <t>def solution():
    # Define variables from problem statement
    cost = 120000
    salvage_value = 20000
    useful_life = 5
    # Calculate depreciable amount
    depreciable_amount = cost - salvage_value
    # Calculate the sum of years
    sum_of_years = useful_life * (useful_life + 1) / 2
    # Calculate depreciation expense for each year using sum-of-years-digits method
    depreciation_expenses = []
    for year in range(useful_life):
        fraction = (useful_life - year) / sum_of_years
        depreciation_expense = depreciable_amount * fraction
        depreciation_expenses.append(depreciation_expense)
    # Find the depreciation expense for the third year
    third_year_depreciation = depreciation_expenses[2]  # Index 2 corresponds to year 3
    # Return the depreciation expense for the third year rounded to the nearest dollar
    return round(third_year_depreciation)</t>
  </si>
  <si>
    <t>finreason-test-2164</t>
  </si>
  <si>
    <t>[]
Question: A risk manager specializing in market risk is looking to determine the cost of a 2-year zero-coupon bond. The current 1-year interest rate is 8.0%. There's a chance of 50% that the 1-year interest rate will reach 10.0% after one year and an equal probability of its falling to 6.0% in the same period. Suppose the yearly risk premium for duration risk is 40 bps, and the bond faces a value of EUR 1,000. What should be the zero-coupon bond's valuation? Answer to three decimal places.</t>
  </si>
  <si>
    <t>def solution():
    bond_face_value = 1000
    risk_free_rate = 0.08
    risk_premium = 0.004
    up_interest_rate = 0.10
    down_interest_rate = 0.06
    probability_up = 0.5
    probability_down = 0.5
    up_price_date1 = bond_face_value / (1 + up_interest_rate + risk_premium)
    down_price_date1 = bond_face_value / (1 + down_interest_rate + risk_premium)
    expected_price_date1 = probability_up * up_price_date1 + probability_down * down_price_date1
    zero_coupon_bond_price = expected_price_date1 / (1 + risk_free_rate)
    return zero_coupon_bond_price</t>
  </si>
  <si>
    <t>finreason-test-2163</t>
  </si>
  <si>
    <t>An investor, Linda, writes 5 call option contracts for a tech company's stock. She receives a premium of $2.50 per share. The options have a strike price of $150 per share. At the expiration date, the market price of the stock is $158 per share. Linda's position is covered as she already owns the underlying shares, which she purchased at $140 per share.
Question: What is Linda's total profit or loss from this options writing strategy? Answer to the nearest integer.</t>
  </si>
  <si>
    <t>def solution():
    # Define variables based on the problem context
    contracts = 5
    premium_received_per_share = 2.50
    strike_price = 150
    market_price = 158
    shares_bought_price = 140
    covered = True
    # Calculate the number of shares based on the number of contracts
    shares = contracts * 100
    # Calculate the total premium received for all the contracts
    total_premium_received = premium_received_per_share * shares
    # Calculate the intrinsic value of the option
    intrinsic_value = max(0, market_price - strike_price)
    # Calculate the profit or loss for covered call option
    profit_or_loss = (total_premium_received 
                      - (intrinsic_value * shares) 
                      + ((market_price - shares_bought_price) * shares))
    # Return the rounded result
    return round(profit_or_loss)
# Call the function to get the solution
solution()</t>
  </si>
  <si>
    <t>finreason-test-2227</t>
  </si>
  <si>
    <t>A corporate treasurer is evaluating the impact of interest rate changes on their bond portfolio. They hold bonds with a face value of $100,000, an annual coupon rate of 5%, and 10 years remaining to maturity. Recently, market interest rates have increased, and the current market rate now stands at 6%. The treasurer wants to know how much the market price of these bonds has changed due to this increase in interest rates.
Question: What is the percentage change in the bond's market price due to the increase in the market interest rate? Answer as a percentage to two decimal places.</t>
  </si>
  <si>
    <t>def solution():
    # Define variables and their values
    face_value = 100000
    coupon_rate = 0.05
    current_market_rate = 0.06
    years_to_maturity = 10
    # Calculate the annual coupon payment
    annual_coupon_payment = face_value * coupon_rate
    # Calculate the original bond price using the coupon rate
    original_price = sum(
        annual_coupon_payment / ((1 + coupon_rate) ** t) for t in range(1, years_to_maturity + 1)
    ) + face_value / ((1 + coupon_rate) ** years_to_maturity)
    # Calculate the new bond price using the current market rate
    new_price = sum(
        annual_coupon_payment / ((1 + current_market_rate) ** t) for t in range(1, years_to_maturity + 1)
    ) + face_value / ((1 + current_market_rate) ** years_to_maturity)
    # Calculate the percentage change in the bond's price
    price_change = ((new_price - original_price) / original_price) * 100
    # Return the result rounded to two decimal places
    return round(price_change, 2)</t>
  </si>
  <si>
    <t>gsmp2-26-26</t>
  </si>
  <si>
    <t>gsm_symbolic_p2</t>
  </si>
  <si>
    <t>A father eats 20 pizzas per day, his wife eats 5 pizzas per day, and their daughter eats three-fifths of the combined number of pizzas they eat per day. After one month, the family decides to go on a diet in the second month, reducing their food consumption by 20% for the first half of the month, and then by an additional 25% for the second half. How many pizzas does this family eat in two months?</t>
  </si>
  <si>
    <t>A father and his wife consumption: 20 + 5 = 25
daughter consumes 3/5 more than A father and his wife combined: 25 * 3/5 = 15. So daughter consumes 25 + 15 = 40 pizzas.
During first month they consume 30 * 40 = 1200.
The first half of the second month the consume 20% less each day: 80% * 40 = 32 . So in 15 days, they consume 480 pizzas. 
During second month, they consume 25% less than the first half each day, so they consume 75% * 32 = 24. So in 15 days, they consume 15 * 24 = 360 pizzas.
In 2 months, they consume 40 + 480 + 360 = 2040 pizzas together.
#### 2040</t>
  </si>
  <si>
    <t>gsmp2-12-17</t>
  </si>
  <si>
    <t>Andre places cookies on bowls and plates. Each bowl can hold 24 cookies while each plate can hold three times that. Andre has 540 cookies, 10 bowls and 4 plates. Unfortunately, 2 plates break. Andre then eats one-fifth of all the cookies. How many more bowls does Andre need so he can place all the remaining cookies?</t>
  </si>
  <si>
    <t>Andre eats 1/5 of the cookies. So 1-1/5 = 4/5 of the cookies remain. 4/5 * 540 = 432 cookies remain.
There were initially 10 bowls, and 4 plates. But then 2 plates break. That would leave Andre with 10 bowls and 4-2 = 2 plates.
Andre will be able to place a total of 24 x 10 + 24 * 2 * 3 = 384 cookies.
So 432 - 384 = 48 cookies remain. Since each bowl can hold 24 cookies, Andre needs 48 / 24 = 2 more bowls so he can place all the cookies.
#### 2</t>
  </si>
  <si>
    <t>gsmp2-32-17</t>
  </si>
  <si>
    <t>Ms. Johnson is looking for a new apartment that will not go beyond her $450000 budget. She saw a property that has a selling price of $600000. On top of that, the buyer has to pay a brokerage fee which is 3% of the selling price, and also the transfer fee that is 10% of the selling price. If Ms. Johnson can get 20% discount on the selling price, how much more will be the total cost than Ms. Johnson's budget?</t>
  </si>
  <si>
    <t>Because of discount, the $600000 will be 600000 * 80% = 480000.
The brokerage fee is $480000 x 3/100 = $14400.
The transfer fee is $480000 x 10/100 = $48000.
The total price of the apartment is $480000 + $14400 + $48000 = $542400.
So, it is $542400 - $450000 = $92400 more than Ms. Johnson's budget.
#### 92400</t>
  </si>
  <si>
    <t>gsmp2-3-47</t>
  </si>
  <si>
    <t>A group of 200 students has various hobbies. 44 like to bake, 8 like to play chess, 13 like to swim, 18 like to play cricket, and the rest like to either paint or hike. What percentage of the students like to paint if the number of the students that like to hike is 3 less than six times the number that prefer playing cricket?</t>
  </si>
  <si>
    <t>The number of students that like to hike is 3 less than 6 times as many as the number who like cricket, so 6 * 18 - 3 = 105
The number that like to paint is 200 total students - 44 bake - 18 cricket - 105 hike - 13 swim - 8 chess = 12.
To calculate the percentage, we divide this number of by 200 and multiply by 100: 12 / 200 = 0.06 * 100 = 6%
#### 6</t>
  </si>
  <si>
    <t>gsmp2-5-46</t>
  </si>
  <si>
    <t>Nia makes tea using teaspoons of sugar and cups of water in a ratio of 63:12. She also uses 9 tablespoons of milk for every 18 cups of water, and uses 2 tablespoons of heavy cream for every teaspoon of sugar. She used a total of 230 teaspoons of sugar, cups of water, tablespoons of cream, and tablespoons of milk. How many teaspoons of sugar did she use?</t>
  </si>
  <si>
    <t>Nia uses 2 tablespoons of cream for every teaspoon of sugar. For 63 teaspoons of sugar, she uses 2 * 63 = 126 tablespoons of heavy cream.
Nia uses 9 tablespoons of milk for every 18 cups of water. For 12 cups water she uses 9*12/18 = 6 tablespoons of milk.
The total ratio representing the ingredients she used to make the tea is 63 sugar +12 water +6 milk + 126 heavy cream= 207.
Since the fraction representing the number of teaspoons of sugar she used is 63/207, she used 63/207*230 = 70
#### 70</t>
  </si>
  <si>
    <t>gsmp2-43-44</t>
  </si>
  <si>
    <t>Kayla went to her orchard to pick some strawberries and found six times as many ants as bees in the garden. Kayla then found 56 white animals, half of which were rabbits. In addition, she saw 42 caterpillars, and 11 bees. What percentage of animals in the garden were rabbits?</t>
  </si>
  <si>
    <t>If there were 11 bees, the total number of ants in the garden is 6 * 11 bees = 66 ants
The total number of insects in the garden is 66 ants + 11 bees + 42caterpillars= 119 insects.
The percentage of rabbits is 56/2 = 28
28/175 * 100 = 16
#### 16</t>
  </si>
  <si>
    <t>gsmp2-7-35</t>
  </si>
  <si>
    <t>A farmer is buying feed for his pigs. He buys a variety of oats, corn, cucumbers and hay. Since hay are a rare treat, he only buys six 7-pound boxes of them for the whole stable. He only wants enough cucumbers to feed the pigs while the vegetables are fresh, so he buys thirteen 5-pound bags. Oats are the main diet of his pigs, so he buys thirty one 38-pound packs. Corn are a staple to supplement the oats, so he buys fifteen 15-pound sacks. Finally, he buys 43 pounds of groceries, and 27 pounds of tools, and 100 pounds of wood. A farm truck can carry 140 pounds at a time. If the farmer has three trucks, how many trips does the farmer need to transport all the purchased items?</t>
  </si>
  <si>
    <t>The farmer is buying 6 * 7 = 42 pounds of hay.
He is buying 13 * 5 = 65 pounds of cucumbers.
He is buying 15 * 15 = 225 pounds of corn packs.
He is buying 31 * 38 = 1178 pounds of oats sacks.
He is buying 43 pounds of grocery + 27 pounds of tools + 100 pounds of wood = 170 pounds.
The weight of all the feed is 42 + 65 + 225 + 1178 + 170 = 1680 pounds.
Thus, the farmer needs 1680 / 140 = 12 trips to transport all the feed in a single farm truck. 
With three trucks, the farmer needs 12/3=4
#### 4</t>
  </si>
  <si>
    <t>gsmp2-29-47</t>
  </si>
  <si>
    <t>Faisal is 10 years old. In 5 years, his cousin Haruka will be 3 times as old as Faisal is now. Faisal's brother, Ali, is 9 years younger than Faisal, and Haruka sister Amelia is 7 years older than Ali. What will be the average of all four in 4 years?</t>
  </si>
  <si>
    <t>Faisal: 10 years.
Haruka: 10 * 3 - 5 = 25 years.
Ali: 10 - 9 = 1 years.
Amelia: 1 + 7 = 8 years.
Currently, they are 10 + 25 + 1 + 8 = 44 years. Their average is 44 / 4 = 11. In 4 years the average will be 15 years.
#### 15</t>
  </si>
  <si>
    <t>gsmp2-47-37</t>
  </si>
  <si>
    <t>Luca initially had 11 dozen eggs, then ate 4 eggs for breakfast, and then hid the rest in the yard for the Easter egg hunt. Isabella finds 6 eggs. Quinn finds two times as many as Isabella. Keisha finds 2 less than Quinn. James finds a fifth as many as Keisha, and Daphne finds two dozen eggs more than Quinn and Isabella combined. How many eggs are still hidden in the yard?</t>
  </si>
  <si>
    <t>Luca has 11 x 12 = 132 eggs. But Luca ate 4 of them. So 132-4=128 eggs will be hidden for the Easter egg hunt.
Isabella finds 6 eggs.
Quinn finds 6 x 2 = 12 eggs.
Keisha finds 12 - 2 = 10 eggs.
James finds 10 * 1/5 = 2 eggs.
Daphne finds 12*2 + 6 + 12 = 42.
The children find a total of 6 + 12 + 10 + 2 + 42 = 72 eggs.
The total number of hidden eggs still in the yard is 128 - 72 = 56 eggs.
#### 56</t>
  </si>
  <si>
    <t>gsmp2-4-37</t>
  </si>
  <si>
    <t>Sanjay is popping popcorn for a snack. As the pot of kernels heats up, the kernels start popping faster. 40 pop in the first 20 seconds of cooking, then 2 times that amount in the next 20 seconds. The kernels increase to 6 times the initial popping rate in the next 20 seconds. In the final 20 seconds, the popping slows down to half the rate as the past 20 seconds. After Sanjay takes the pot off the heat, a quarter of the number of kernels that popped in the final 20 seconds of cooking also pop from the residual heat. Sanjay gives one-sixth of the made popcorn to his brother Noah. How many more pieces of popcorn does Sanjay have to eat than his brother?</t>
  </si>
  <si>
    <t>In the second 20 seconds of cooking, 2* 40 = 80 kernels pop.
In the third 20 seconds, 6 * 40 = 240 kernels pop.
In the final 20 seconds, 240 / 2 = 120 kernels pop.
After cooking, the residual heat makes 120 / 4 = 30 kernels pop.
Thus, Sanjay has 40 + 80 + 240 + 120 + 30 = 510 pieces of popcorn to eat.
But since 1/6 of popcorn go to the brother, 510 * 1/6 = 85.
The remaining popcorn for Sanjay is 510 * 5/6 = 425.
So the differences is 425 - 85 = 340
#### 340</t>
  </si>
  <si>
    <t>gsmp2-41-28</t>
  </si>
  <si>
    <t>A pyramid is made out of 5 green cubes, twice as many orange cubes, and an unknown number of white cubes. If there are 20 cubes in the pyramid in total, what percentage of cubes are white?</t>
  </si>
  <si>
    <t>There are 5*2 = 10 orange cubes in the pyramid.
There are 20-5-10 = 5 white cubes in the pyramid.
So the percentage is 5/20*100 = 25
#### 25</t>
  </si>
  <si>
    <t>gsmp2-17-29</t>
  </si>
  <si>
    <t>Rania walks 30 kilometers every day on her favorite walking trail, which includes 15 kilometers of walking on the beach and 15 kilometers of walking on the sidewalk. On the sidewalk, Rania walks at two times the rate of speed that she does on the beach. However, due to a recent injury, Rania's speed has decreased by half both on the beach and sidewalk. If 60 minutes of her walk is spent on the beach, how long does it take for her to complete the entire 30-kilometer walk, in minutes?</t>
  </si>
  <si>
    <t>On the beach, Rania walks at a rate of 15 kilometers per 60 minutes, or 15/60 = 1/4 kilometers per minute.
On the sidewalk, she walks at 2 times the rate of speed as when she is on the sand, or 2 * 1/4 = 1/2 kilometers per minute.
To walk 15 kilometers on the sidewalk, it takes her 15÷1/2=30 minutes.
Thus, in total, it takes Rania 60+30=90 minutes to walk her favorite route.
#### 90</t>
  </si>
  <si>
    <t>gsmp2-3-3</t>
  </si>
  <si>
    <t>A group of 150 students has various hobbies. 27 like to play music, 8 like to play chess, 13 like to swim, 9 like to play football, and the rest like to either paint or play video games. What percentage of the students like to paint if the number of the students that like to play video games is 3 less than two times the number that prefer playing football?</t>
  </si>
  <si>
    <t>The number of students that like to play video games is 3 less than 2 times as many as the number who like football, so 2 * 9 - 3 = 15
The number that like to paint is 150 total students - 27 play music - 9 football - 15 play video games - 13 swim - 8 chess = 78.
To calculate the percentage, we divide this number of by 150 and multiply by 100: 78 / 150 = 0.52 * 100 = 52%
#### 52</t>
  </si>
  <si>
    <t>gsmp2-7-2</t>
  </si>
  <si>
    <t>A farmer is buying feed for his cows. He buys a variety of wheat, oats, carrots and corn. Since corn are a rare treat, he only buys seven 5-kg boxes of them for the whole stable. He only wants enough carrots to feed the cows while the vegetables are fresh, so he buys eleven 7-kg bags. Wheat are the main diet of his cows, so he buys thirty four 39-kg packs. Oats are a staple to supplement the wheat, so he buys nineteen 18-kg sacks. Finally, he buys 43 kgs of groceries, and 27 kgs of tools, and 100 kgs of wood. A farm truck can carry 130 kgs at a time. If the farmer has three trucks, how many trips does the farmer need to transport all the purchased items?</t>
  </si>
  <si>
    <t>The farmer is buying 7 * 5 = 35 kgs of corn.
He is buying 11 * 7 = 77 kgs of carrots.
He is buying 19 * 18 = 342 kgs of oats packs.
He is buying 34 * 39 = 1326 kgs of wheat sacks.
He is buying 43 kgs of grocery + 27 kgs of tools + 100 kgs of wood = 170 kgs.
The weight of all the feed is 35 + 77 + 342 + 1326 + 170 = 1950 kgs.
Thus, the farmer needs 1950 / 130 = 15 trips to transport all the feed in a single farm truck. 
With three trucks, the farmer needs 15/3=5
#### 5</t>
  </si>
  <si>
    <t>gsmp2-35-26</t>
  </si>
  <si>
    <t>Yusuf is raising money for a 2-day seminar. Each day costs €250 for hotel, €30 for food, and €20 for transportation. Yusuf only has €35. His friends have chipped in and will cover the cost of all the food for the seminar. Yusuf has also applied for help from the community center, which has decided to cover 1/9 of the remaining cost of the seminar. How much money is Yusuf still missing?</t>
  </si>
  <si>
    <t>Total cost of seminar for one day: €250 + €20 + €30 = €300.
For 2 days, the cost will be 2 * €300 = €600.
Yusuf's friends will cover the cost of food which will be 2 * €30 = €60. So the remaining cost is 600 - 60 = €540.
community center is going to pay 1/9 of the remaining cost which will be 1/9 * €540 = €60. So he still needs €540-€60 = €480.
Yusuf also has €35 so he needs €480 - €35 = €445.
#### 445</t>
  </si>
  <si>
    <t>gsmp2-34-12</t>
  </si>
  <si>
    <t>Dr. Miller sold his apartment for $660000. He paid the legal fees that amounted to 1% of the selling price and also paid a realtor fee that is 2% of the selling price. He also paid $600000 for the remaining loan amount on the apartment, and $5000 for closing costs. Dr. Miller used the net proceeds from selling the apartment to invest in stocks. The stocks gained 10% each year for two years. How much were Dr. Miller's net proceeds after two years?</t>
  </si>
  <si>
    <t>Dr. Miller paid $660000 x 1/100 = $6600 for the legal fees.
He paid $660000 x 2/100 = $13200 for the realtor fee.
So, Dr. Miller paid a total of $6600 + $13200 + $600000 = $619800 for the legal, realtor, and loan fees.
Hence, Dr. Miller's net proceeds is $660000 - $619800 = $40200.
Deducting the 5000 closing costs, we have $40200 - $5000 = 35200.
We multiply 35200 by two 10% increments which would be 35200 * 110% * 110% = 42592
#### 42592</t>
  </si>
  <si>
    <t>gsmp2-5-36</t>
  </si>
  <si>
    <t>Ananya makes tea using teaspoons of sugar and cups of water in a ratio of 48:8. She also uses 6 tablespoons of milk for every 6 cups of water, and uses 2 tablespoons of heavy cream for every teaspoon of sugar. She used a total of 200 teaspoons of sugar, cups of water, tablespoons of cream, and tablespoons of milk. How many teaspoons of sugar did she use?</t>
  </si>
  <si>
    <t>Ananya uses 2 tablespoons of cream for every teaspoon of sugar. For 48 teaspoons of sugar, she uses 2 * 48 = 96 tablespoons of heavy cream.
Ananya uses 6 tablespoons of milk for every 6 cups of water. For 8 cups water she uses 6*8/6 = 8 tablespoons of milk.
The total ratio representing the ingredients she used to make the tea is 48 sugar +8 water +8 milk + 96 heavy cream= 160.
Since the fraction representing the number of teaspoons of sugar she used is 48/160, she used 48/160*200 = 60
#### 60</t>
  </si>
  <si>
    <t>gsmp2-19-35</t>
  </si>
  <si>
    <t>In a 40-item quiz, 20% of the questions are literature, 10% are biology, and the rest are equally divided as history and physics questions. If Elena is sure to get 25% of the biology questions, 100% of the literature questions, and 1/2 of the history and physics questions correctly, how many points is she sure to get?</t>
  </si>
  <si>
    <t>The history and physics questions comprises 100% - 20%-10% = 70% of the quiz.
There are 40 questions x 20/100 = 8 literature questions.
There are 40 questions x 10/100 = 4 biology questions.
There are a total of 40 questions x 70/100 = 28 history and physics questions.
If Elena is sure to get 100% of the literature questions, then this means she is sure of her 8 questions x 100/100 = 8 points.
If Elena is sure to get 25% of the biology questions, then this means she is sure of her 4 questions x 25/100 = 1 points.
From the history and physics questions, she is sure to get 1/2 of it correctly so that is 28 * 1/2 = 14 points.
Thus, she is sure of getting 8 points + 1 + 14 points = 23 points in her quiz.
#### 23</t>
  </si>
  <si>
    <t>gsmp2-7-21</t>
  </si>
  <si>
    <t>A farmer is buying feed for his alpacas. He buys a variety of apples, oats, carrots and wheat. Since wheat are a rare treat, he only buys seven 3-kg boxes of them for the whole stable. He only wants enough carrots to feed the alpacas while the vegetables are fresh, so he buys fourteen 5-kg bags. Apples are the main diet of his alpacas, so he buys thirty one 37-kg packs. Oats are a staple to supplement the apples, so he buys sixteen 17-kg sacks. Finally, he buys 43 kgs of groceries, and 27 kgs of tools, and 100 kgs of wood. A farm truck can carry 140 kgs at a time. If the farmer has three trucks, how many trips does the farmer need to transport all the purchased items?</t>
  </si>
  <si>
    <t>The farmer is buying 7 * 3 = 21 kgs of wheat.
He is buying 14 * 5 = 70 kgs of carrots.
He is buying 16 * 17 = 272 kgs of oats packs.
He is buying 31 * 37 = 1147 kgs of apples sacks.
He is buying 43 kgs of grocery + 27 kgs of tools + 100 kgs of wood = 170 kgs.
The weight of all the feed is 21 + 70 + 272 + 1147 + 170 = 1680 kgs.
Thus, the farmer needs 1680 / 140 = 12 trips to transport all the feed in a single farm truck. 
With three trucks, the farmer needs 12/3=4
#### 4</t>
  </si>
  <si>
    <t>gsmp2-45-7</t>
  </si>
  <si>
    <t>Daphne has a flower bed that is 144 meters long. Daphne wants to fill her flower bed with plants. Daphne's flowers grow 2meters wide so she needs to leave 12 meters between every plant (including the plants width). Daphne already owns 7 flowers. Each flowering plant costs ¥3 at the store. However, if she buys more than 2 plants, she'll receive a ¥9 discount on the entire purchase. How much money will Daphne spend at the store to fill up her flower bed?</t>
  </si>
  <si>
    <t>Daphne's flower bed is 144 meters / 12 meters per plant = 12 plants needed.
Daphne needs to buy 12 plants - 7 plants = 5 plants needed to purchase.
Daphne will spend 5 plants * ¥3 = ¥15. 
Finally, we should reduce 9 as she has bought more than 2 plants: 15 - 9 = 6
#### 6</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</si>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</sst>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name val="Arial"/>
      <family val="2"/>
    </font>
    <font>
      <sz val="10"/>
      <name val="Arial"/>
      <family val="2"/>
    </font>
    <font>
      <b/>
      <sz val="10"/>
      <name val="Arial"/>
      <family val="2"/>
    </font>
    <font>
      <b/>
      <sz val="11"/>
      <color rgb="FFFFFFFF"/>
      <name val="Arial"/>
      <family val="2"/>
    </font>
  </fonts>
  <fills count="4">
    <fill>
      <patternFill patternType="none"/>
    </fill>
    <fill>
      <patternFill patternType="gray125"/>
    </fill>
    <fill>
      <patternFill patternType="solid">
        <fgColor rgb="FF1B2430"/>
      </patternFill>
    </fill>
    <fill>
      <patternFill patternType="solid">
        <fgColor rgb="FFFFFF00"/>
      </patternFill>
    </fill>
  </fills>
  <borders count="2">
    <border>
      <left/>
      <right/>
      <top/>
      <bottom/>
      <diagonal/>
    </border>
    <border>
      <left style="thin">
        <color rgb="FFC8C8C8"/>
      </left>
      <right style="thin">
        <color rgb="FFC8C8C8"/>
      </right>
      <top style="thin">
        <color rgb="FFC8C8C8"/>
      </top>
      <bottom style="thin">
        <color rgb="FFC8C8C8"/>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heetViews>
  <sheetFormatPr defaultRowHeight="14.5" x14ac:dyDescent="0.35"/>
  <cols>
    <col min="1" max="1" width="150" customWidth="1"/>
    <col min="2" max="2" width="12" customWidth="1"/>
  </cols>
  <sheetData>
    <row r="1" spans="1:1" ht="18" x14ac:dyDescent="0.4">
      <c r="A1" s="1" t="s">
        <v>0</v>
      </c>
    </row>
    <row r="2" spans="1:1" x14ac:dyDescent="0.35">
      <c r="A2" s="2"/>
    </row>
    <row r="3" spans="1:1" x14ac:dyDescent="0.35">
      <c r="A3" s="2" t="s">
        <v>1</v>
      </c>
    </row>
    <row r="4" spans="1:1" x14ac:dyDescent="0.35">
      <c r="A4" s="2"/>
    </row>
    <row r="5" spans="1:1" x14ac:dyDescent="0.35">
      <c r="A5" s="2" t="s">
        <v>2</v>
      </c>
    </row>
    <row r="6" spans="1:1" x14ac:dyDescent="0.35">
      <c r="A6" s="2" t="s">
        <v>3</v>
      </c>
    </row>
    <row r="7" spans="1:1" x14ac:dyDescent="0.35">
      <c r="A7" s="2" t="s">
        <v>4</v>
      </c>
    </row>
    <row r="8" spans="1:1" x14ac:dyDescent="0.35">
      <c r="A8" s="2"/>
    </row>
    <row r="9" spans="1:1" x14ac:dyDescent="0.35">
      <c r="A9" s="3" t="s">
        <v>5</v>
      </c>
    </row>
    <row r="10" spans="1:1" x14ac:dyDescent="0.35">
      <c r="A10" s="2" t="s">
        <v>6</v>
      </c>
    </row>
    <row r="11" spans="1:1" x14ac:dyDescent="0.35">
      <c r="A11" s="2" t="s">
        <v>7</v>
      </c>
    </row>
    <row r="12" spans="1:1" x14ac:dyDescent="0.35">
      <c r="A12" s="2" t="s">
        <v>8</v>
      </c>
    </row>
    <row r="13" spans="1:1" x14ac:dyDescent="0.35">
      <c r="A13" s="2" t="s">
        <v>9</v>
      </c>
    </row>
    <row r="14" spans="1:1" x14ac:dyDescent="0.35">
      <c r="A14" s="2"/>
    </row>
    <row r="15" spans="1:1" x14ac:dyDescent="0.35">
      <c r="A15" s="2" t="s">
        <v>10</v>
      </c>
    </row>
    <row r="16" spans="1:1" x14ac:dyDescent="0.35">
      <c r="A16" s="2" t="s">
        <v>11</v>
      </c>
    </row>
    <row r="17" spans="1:2" x14ac:dyDescent="0.35">
      <c r="A17" s="2"/>
    </row>
    <row r="18" spans="1:2" x14ac:dyDescent="0.35">
      <c r="A18" s="3" t="s">
        <v>12</v>
      </c>
    </row>
    <row r="19" spans="1:2" x14ac:dyDescent="0.35">
      <c r="A19" s="2" t="s">
        <v>13</v>
      </c>
    </row>
    <row r="20" spans="1:2" x14ac:dyDescent="0.35">
      <c r="A20" s="2"/>
    </row>
    <row r="21" spans="1:2" x14ac:dyDescent="0.35">
      <c r="A21" s="3" t="s">
        <v>14</v>
      </c>
    </row>
    <row r="22" spans="1:2" x14ac:dyDescent="0.35">
      <c r="A22" s="2" t="s">
        <v>15</v>
      </c>
      <c r="B22" s="2">
        <f>COUNTA(Review!G2:G51)</f>
        <v>19</v>
      </c>
    </row>
    <row r="23" spans="1:2" x14ac:dyDescent="0.35">
      <c r="A23" s="2" t="s">
        <v>16</v>
      </c>
      <c r="B23" s="2">
        <f>COUNTIF(Review!G2:G51,"Y")</f>
        <v>1</v>
      </c>
    </row>
    <row r="24" spans="1:2" x14ac:dyDescent="0.35">
      <c r="A24" s="2" t="s">
        <v>17</v>
      </c>
      <c r="B24" s="2">
        <f>COUNTA(Review!B2:B51)</f>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J51"/>
  <sheetViews>
    <sheetView tabSelected="1" zoomScale="70" zoomScaleNormal="70" workbookViewId="0">
      <pane xSplit="3" ySplit="1" topLeftCell="D126" activePane="bottomRight" state="frozen"/>
      <selection pane="topRight"/>
      <selection pane="bottomLeft"/>
      <selection pane="bottomRight" activeCell="F132" sqref="F132"/>
    </sheetView>
  </sheetViews>
  <sheetFormatPr defaultRowHeight="14.5" x14ac:dyDescent="0.35"/>
  <cols>
    <col min="1" max="1" width="5" customWidth="1"/>
    <col min="2" max="2" width="22" customWidth="1"/>
    <col min="3" max="3" width="16" customWidth="1"/>
    <col min="4" max="4" width="90" customWidth="1"/>
    <col min="5" max="5" width="14" customWidth="1"/>
    <col min="6" max="6" width="60" customWidth="1"/>
    <col min="7" max="7" width="14" customWidth="1"/>
    <col min="8" max="8" width="40" customWidth="1"/>
    <col min="9" max="9" width="13" customWidth="1"/>
    <col min="10" max="10" width="35" customWidth="1"/>
  </cols>
  <sheetData>
    <row r="1" spans="1:10" ht="28" x14ac:dyDescent="0.35">
      <c r="A1" s="4" t="s">
        <v>18</v>
      </c>
      <c r="B1" s="4" t="s">
        <v>19</v>
      </c>
      <c r="C1" s="4" t="s">
        <v>20</v>
      </c>
      <c r="D1" s="4" t="s">
        <v>21</v>
      </c>
      <c r="E1" s="4" t="s">
        <v>22</v>
      </c>
      <c r="F1" s="4" t="s">
        <v>23</v>
      </c>
      <c r="G1" s="4" t="s">
        <v>24</v>
      </c>
      <c r="H1" s="4" t="s">
        <v>25</v>
      </c>
      <c r="I1" s="4" t="s">
        <v>26</v>
      </c>
      <c r="J1" s="4" t="s">
        <v>27</v>
      </c>
    </row>
    <row r="2" spans="1:10" ht="409" hidden="1" customHeight="1" x14ac:dyDescent="0.35">
      <c r="A2" s="5">
        <v>1</v>
      </c>
      <c r="B2" s="5" t="s">
        <v>28</v>
      </c>
      <c r="C2" s="5" t="s">
        <v>29</v>
      </c>
      <c r="D2" s="5" t="s">
        <v>30</v>
      </c>
      <c r="E2" s="5">
        <v>2.54</v>
      </c>
      <c r="F2" s="5" t="s">
        <v>31</v>
      </c>
      <c r="G2" s="6" t="s">
        <v>180</v>
      </c>
      <c r="H2" s="6"/>
      <c r="I2" s="6"/>
      <c r="J2" s="6"/>
    </row>
    <row r="3" spans="1:10" ht="104" hidden="1" customHeight="1" x14ac:dyDescent="0.35">
      <c r="A3" s="5">
        <v>2</v>
      </c>
      <c r="B3" s="5" t="s">
        <v>32</v>
      </c>
      <c r="C3" s="5" t="s">
        <v>29</v>
      </c>
      <c r="D3" s="5" t="s">
        <v>33</v>
      </c>
      <c r="E3" s="5">
        <v>20</v>
      </c>
      <c r="F3" s="5" t="s">
        <v>34</v>
      </c>
      <c r="G3" s="6" t="s">
        <v>180</v>
      </c>
      <c r="H3" s="6"/>
      <c r="I3" s="6"/>
      <c r="J3" s="6"/>
    </row>
    <row r="4" spans="1:10" ht="409" hidden="1" customHeight="1" x14ac:dyDescent="0.35">
      <c r="A4" s="5">
        <v>3</v>
      </c>
      <c r="B4" s="5" t="s">
        <v>35</v>
      </c>
      <c r="C4" s="5" t="s">
        <v>29</v>
      </c>
      <c r="D4" s="5" t="s">
        <v>36</v>
      </c>
      <c r="E4" s="5">
        <v>1665.31</v>
      </c>
      <c r="F4" s="5" t="s">
        <v>37</v>
      </c>
      <c r="G4" s="6" t="s">
        <v>180</v>
      </c>
      <c r="H4" s="6"/>
      <c r="I4" s="6"/>
      <c r="J4" s="6"/>
    </row>
    <row r="5" spans="1:10" ht="409" hidden="1" customHeight="1" x14ac:dyDescent="0.35">
      <c r="A5" s="5">
        <v>4</v>
      </c>
      <c r="B5" s="5" t="s">
        <v>38</v>
      </c>
      <c r="C5" s="5" t="s">
        <v>29</v>
      </c>
      <c r="D5" s="5" t="s">
        <v>39</v>
      </c>
      <c r="E5" s="5">
        <v>-35.71</v>
      </c>
      <c r="F5" s="5" t="s">
        <v>40</v>
      </c>
      <c r="G5" s="6" t="s">
        <v>180</v>
      </c>
      <c r="H5" s="6"/>
      <c r="I5" s="6"/>
      <c r="J5" s="6"/>
    </row>
    <row r="6" spans="1:10" ht="273" hidden="1" customHeight="1" x14ac:dyDescent="0.35">
      <c r="A6" s="5">
        <v>5</v>
      </c>
      <c r="B6" s="5" t="s">
        <v>41</v>
      </c>
      <c r="C6" s="5" t="s">
        <v>29</v>
      </c>
      <c r="D6" s="5" t="s">
        <v>42</v>
      </c>
      <c r="E6" s="5">
        <v>12.6</v>
      </c>
      <c r="F6" s="5" t="s">
        <v>43</v>
      </c>
      <c r="G6" s="6" t="s">
        <v>180</v>
      </c>
      <c r="H6" s="6"/>
      <c r="I6" s="6"/>
      <c r="J6" s="6"/>
    </row>
    <row r="7" spans="1:10" ht="390" hidden="1" customHeight="1" x14ac:dyDescent="0.35">
      <c r="A7" s="5">
        <v>6</v>
      </c>
      <c r="B7" s="5" t="s">
        <v>44</v>
      </c>
      <c r="C7" s="5" t="s">
        <v>29</v>
      </c>
      <c r="D7" s="5" t="s">
        <v>45</v>
      </c>
      <c r="E7" s="5">
        <v>159.06</v>
      </c>
      <c r="F7" s="5" t="s">
        <v>46</v>
      </c>
      <c r="G7" s="6" t="s">
        <v>180</v>
      </c>
      <c r="H7" s="6"/>
      <c r="I7" s="6"/>
      <c r="J7" s="6"/>
    </row>
    <row r="8" spans="1:10" ht="409" hidden="1" customHeight="1" x14ac:dyDescent="0.35">
      <c r="A8" s="5">
        <v>7</v>
      </c>
      <c r="B8" s="5" t="s">
        <v>47</v>
      </c>
      <c r="C8" s="5" t="s">
        <v>29</v>
      </c>
      <c r="D8" s="5" t="s">
        <v>48</v>
      </c>
      <c r="E8" s="5">
        <v>0.92610000000000003</v>
      </c>
      <c r="F8" s="5" t="s">
        <v>49</v>
      </c>
      <c r="G8" s="6" t="s">
        <v>180</v>
      </c>
      <c r="H8" s="6"/>
      <c r="I8" s="6"/>
      <c r="J8" s="6"/>
    </row>
    <row r="9" spans="1:10" ht="409" hidden="1" customHeight="1" x14ac:dyDescent="0.35">
      <c r="A9" s="5">
        <v>8</v>
      </c>
      <c r="B9" s="5" t="s">
        <v>50</v>
      </c>
      <c r="C9" s="5" t="s">
        <v>29</v>
      </c>
      <c r="D9" s="5" t="s">
        <v>51</v>
      </c>
      <c r="E9" s="5">
        <v>208</v>
      </c>
      <c r="F9" s="5" t="s">
        <v>52</v>
      </c>
      <c r="G9" s="6" t="s">
        <v>180</v>
      </c>
      <c r="H9" s="6"/>
      <c r="I9" s="6"/>
      <c r="J9" s="6"/>
    </row>
    <row r="10" spans="1:10" ht="409" hidden="1" customHeight="1" x14ac:dyDescent="0.35">
      <c r="A10" s="5">
        <v>9</v>
      </c>
      <c r="B10" s="5" t="s">
        <v>53</v>
      </c>
      <c r="C10" s="5" t="s">
        <v>29</v>
      </c>
      <c r="D10" s="5" t="s">
        <v>54</v>
      </c>
      <c r="E10" s="5">
        <v>11.9</v>
      </c>
      <c r="F10" s="5" t="s">
        <v>55</v>
      </c>
      <c r="G10" s="6" t="s">
        <v>180</v>
      </c>
      <c r="H10" s="6"/>
      <c r="I10" s="6"/>
      <c r="J10" s="6"/>
    </row>
    <row r="11" spans="1:10" ht="286" hidden="1" customHeight="1" x14ac:dyDescent="0.35">
      <c r="A11" s="5">
        <v>10</v>
      </c>
      <c r="B11" s="5" t="s">
        <v>56</v>
      </c>
      <c r="C11" s="5" t="s">
        <v>29</v>
      </c>
      <c r="D11" s="5" t="s">
        <v>57</v>
      </c>
      <c r="E11" s="5">
        <v>1E-3</v>
      </c>
      <c r="F11" s="5" t="s">
        <v>58</v>
      </c>
      <c r="G11" s="6" t="s">
        <v>180</v>
      </c>
      <c r="H11" s="6"/>
      <c r="I11" s="6"/>
      <c r="J11" s="6"/>
    </row>
    <row r="12" spans="1:10" ht="130" hidden="1" customHeight="1" x14ac:dyDescent="0.35">
      <c r="A12" s="5">
        <v>11</v>
      </c>
      <c r="B12" s="5" t="s">
        <v>59</v>
      </c>
      <c r="C12" s="5" t="s">
        <v>29</v>
      </c>
      <c r="D12" s="5" t="s">
        <v>60</v>
      </c>
      <c r="E12" s="5">
        <v>97.730999999999995</v>
      </c>
      <c r="F12" s="5" t="s">
        <v>61</v>
      </c>
      <c r="G12" s="6" t="s">
        <v>180</v>
      </c>
      <c r="H12" s="6"/>
      <c r="I12" s="6"/>
      <c r="J12" s="6"/>
    </row>
    <row r="13" spans="1:10" ht="409" hidden="1" customHeight="1" x14ac:dyDescent="0.35">
      <c r="A13" s="5">
        <v>12</v>
      </c>
      <c r="B13" s="5" t="s">
        <v>62</v>
      </c>
      <c r="C13" s="5" t="s">
        <v>29</v>
      </c>
      <c r="D13" s="5" t="s">
        <v>63</v>
      </c>
      <c r="E13" s="5">
        <v>30000</v>
      </c>
      <c r="F13" s="5" t="s">
        <v>64</v>
      </c>
      <c r="G13" s="6" t="s">
        <v>180</v>
      </c>
      <c r="H13" s="6"/>
      <c r="I13" s="6"/>
      <c r="J13" s="6"/>
    </row>
    <row r="14" spans="1:10" ht="156" hidden="1" customHeight="1" x14ac:dyDescent="0.35">
      <c r="A14" s="5">
        <v>13</v>
      </c>
      <c r="B14" s="5" t="s">
        <v>65</v>
      </c>
      <c r="C14" s="5" t="s">
        <v>29</v>
      </c>
      <c r="D14" s="5" t="s">
        <v>66</v>
      </c>
      <c r="E14" s="5">
        <v>51.503</v>
      </c>
      <c r="F14" s="5" t="s">
        <v>67</v>
      </c>
      <c r="G14" s="6" t="s">
        <v>180</v>
      </c>
      <c r="H14" s="6"/>
      <c r="I14" s="6"/>
      <c r="J14" s="6"/>
    </row>
    <row r="15" spans="1:10" ht="409" hidden="1" customHeight="1" x14ac:dyDescent="0.35">
      <c r="A15" s="5">
        <v>14</v>
      </c>
      <c r="B15" s="5" t="s">
        <v>68</v>
      </c>
      <c r="C15" s="5" t="s">
        <v>29</v>
      </c>
      <c r="D15" s="5" t="s">
        <v>69</v>
      </c>
      <c r="E15" s="5">
        <v>471.78</v>
      </c>
      <c r="F15" s="5" t="s">
        <v>70</v>
      </c>
      <c r="G15" s="6"/>
      <c r="H15" s="6"/>
      <c r="I15" s="6"/>
      <c r="J15" s="6"/>
    </row>
    <row r="16" spans="1:10" ht="409" hidden="1" customHeight="1" x14ac:dyDescent="0.35">
      <c r="A16" s="5">
        <v>15</v>
      </c>
      <c r="B16" s="5" t="s">
        <v>71</v>
      </c>
      <c r="C16" s="5" t="s">
        <v>29</v>
      </c>
      <c r="D16" s="5" t="s">
        <v>72</v>
      </c>
      <c r="E16" s="5">
        <v>2250</v>
      </c>
      <c r="F16" s="5" t="s">
        <v>73</v>
      </c>
      <c r="G16" s="6"/>
      <c r="H16" s="6"/>
      <c r="I16" s="6"/>
      <c r="J16" s="6"/>
    </row>
    <row r="17" spans="1:10" ht="409" hidden="1" customHeight="1" x14ac:dyDescent="0.35">
      <c r="A17" s="5">
        <v>16</v>
      </c>
      <c r="B17" s="5" t="s">
        <v>74</v>
      </c>
      <c r="C17" s="5" t="s">
        <v>29</v>
      </c>
      <c r="D17" s="5" t="s">
        <v>75</v>
      </c>
      <c r="E17" s="5">
        <v>9.94</v>
      </c>
      <c r="F17" s="5" t="s">
        <v>76</v>
      </c>
      <c r="G17" s="6"/>
      <c r="H17" s="6"/>
      <c r="I17" s="6"/>
      <c r="J17" s="6"/>
    </row>
    <row r="18" spans="1:10" ht="409" hidden="1" customHeight="1" x14ac:dyDescent="0.35">
      <c r="A18" s="5">
        <v>17</v>
      </c>
      <c r="B18" s="5" t="s">
        <v>77</v>
      </c>
      <c r="C18" s="5" t="s">
        <v>29</v>
      </c>
      <c r="D18" s="5" t="s">
        <v>78</v>
      </c>
      <c r="E18" s="5">
        <v>103628</v>
      </c>
      <c r="F18" s="5" t="s">
        <v>79</v>
      </c>
      <c r="G18" s="6"/>
      <c r="H18" s="6"/>
      <c r="I18" s="6"/>
      <c r="J18" s="6"/>
    </row>
    <row r="19" spans="1:10" ht="234" hidden="1" customHeight="1" x14ac:dyDescent="0.35">
      <c r="A19" s="5">
        <v>18</v>
      </c>
      <c r="B19" s="5" t="s">
        <v>80</v>
      </c>
      <c r="C19" s="5" t="s">
        <v>29</v>
      </c>
      <c r="D19" s="5" t="s">
        <v>81</v>
      </c>
      <c r="E19" s="5">
        <v>-84.210999999999999</v>
      </c>
      <c r="F19" s="5" t="s">
        <v>82</v>
      </c>
      <c r="G19" s="6" t="s">
        <v>180</v>
      </c>
      <c r="H19" s="6"/>
      <c r="I19" s="6"/>
      <c r="J19" s="6"/>
    </row>
    <row r="20" spans="1:10" ht="409" hidden="1" customHeight="1" x14ac:dyDescent="0.35">
      <c r="A20" s="5">
        <v>19</v>
      </c>
      <c r="B20" s="5" t="s">
        <v>83</v>
      </c>
      <c r="C20" s="5" t="s">
        <v>29</v>
      </c>
      <c r="D20" s="5" t="s">
        <v>84</v>
      </c>
      <c r="E20" s="5">
        <v>4200</v>
      </c>
      <c r="F20" s="5" t="s">
        <v>85</v>
      </c>
      <c r="G20" s="6"/>
      <c r="H20" s="6"/>
      <c r="I20" s="6"/>
      <c r="J20" s="6"/>
    </row>
    <row r="21" spans="1:10" ht="286" hidden="1" customHeight="1" x14ac:dyDescent="0.35">
      <c r="A21" s="5">
        <v>20</v>
      </c>
      <c r="B21" s="5" t="s">
        <v>86</v>
      </c>
      <c r="C21" s="5" t="s">
        <v>29</v>
      </c>
      <c r="D21" s="5" t="s">
        <v>87</v>
      </c>
      <c r="E21" s="5">
        <v>2.871</v>
      </c>
      <c r="F21" s="5" t="s">
        <v>88</v>
      </c>
      <c r="G21" s="6"/>
      <c r="H21" s="6"/>
      <c r="I21" s="6"/>
      <c r="J21" s="6"/>
    </row>
    <row r="22" spans="1:10" ht="409" hidden="1" customHeight="1" x14ac:dyDescent="0.35">
      <c r="A22" s="5">
        <v>21</v>
      </c>
      <c r="B22" s="5" t="s">
        <v>89</v>
      </c>
      <c r="C22" s="5" t="s">
        <v>29</v>
      </c>
      <c r="D22" s="5" t="s">
        <v>90</v>
      </c>
      <c r="E22" s="5">
        <v>875</v>
      </c>
      <c r="F22" s="5" t="s">
        <v>91</v>
      </c>
      <c r="G22" s="6"/>
      <c r="H22" s="6"/>
      <c r="I22" s="6"/>
      <c r="J22" s="6"/>
    </row>
    <row r="23" spans="1:10" ht="409" hidden="1" customHeight="1" x14ac:dyDescent="0.35">
      <c r="A23" s="5">
        <v>22</v>
      </c>
      <c r="B23" s="5" t="s">
        <v>92</v>
      </c>
      <c r="C23" s="5" t="s">
        <v>29</v>
      </c>
      <c r="D23" s="5" t="s">
        <v>93</v>
      </c>
      <c r="E23" s="5">
        <v>74</v>
      </c>
      <c r="F23" s="5" t="s">
        <v>94</v>
      </c>
      <c r="G23" s="6"/>
      <c r="H23" s="6"/>
      <c r="I23" s="6"/>
      <c r="J23" s="6"/>
    </row>
    <row r="24" spans="1:10" ht="409" hidden="1" customHeight="1" x14ac:dyDescent="0.35">
      <c r="A24" s="5">
        <v>23</v>
      </c>
      <c r="B24" s="5" t="s">
        <v>95</v>
      </c>
      <c r="C24" s="5" t="s">
        <v>29</v>
      </c>
      <c r="D24" s="5" t="s">
        <v>96</v>
      </c>
      <c r="E24" s="5">
        <v>-17500</v>
      </c>
      <c r="F24" s="5" t="s">
        <v>97</v>
      </c>
      <c r="G24" s="6"/>
      <c r="H24" s="6"/>
      <c r="I24" s="6"/>
      <c r="J24" s="6"/>
    </row>
    <row r="25" spans="1:10" ht="409" hidden="1" customHeight="1" x14ac:dyDescent="0.35">
      <c r="A25" s="5">
        <v>24</v>
      </c>
      <c r="B25" s="5" t="s">
        <v>98</v>
      </c>
      <c r="C25" s="5" t="s">
        <v>29</v>
      </c>
      <c r="D25" s="5" t="s">
        <v>99</v>
      </c>
      <c r="E25" s="5">
        <v>62.5</v>
      </c>
      <c r="F25" s="5" t="s">
        <v>100</v>
      </c>
      <c r="G25" s="6"/>
      <c r="H25" s="6"/>
      <c r="I25" s="6"/>
      <c r="J25" s="6"/>
    </row>
    <row r="26" spans="1:10" ht="409" hidden="1" customHeight="1" x14ac:dyDescent="0.35">
      <c r="A26" s="5">
        <v>25</v>
      </c>
      <c r="B26" s="5" t="s">
        <v>101</v>
      </c>
      <c r="C26" s="5" t="s">
        <v>29</v>
      </c>
      <c r="D26" s="5" t="s">
        <v>102</v>
      </c>
      <c r="E26" s="5">
        <v>26424.799999999999</v>
      </c>
      <c r="F26" s="5" t="s">
        <v>103</v>
      </c>
      <c r="G26" s="6"/>
      <c r="H26" s="6"/>
      <c r="I26" s="6"/>
      <c r="J26" s="6"/>
    </row>
    <row r="27" spans="1:10" ht="78" hidden="1" customHeight="1" x14ac:dyDescent="0.35">
      <c r="A27" s="5">
        <v>26</v>
      </c>
      <c r="B27" s="5" t="s">
        <v>104</v>
      </c>
      <c r="C27" s="5" t="s">
        <v>29</v>
      </c>
      <c r="D27" s="5" t="s">
        <v>105</v>
      </c>
      <c r="E27" s="5">
        <v>11.818</v>
      </c>
      <c r="F27" s="5" t="s">
        <v>106</v>
      </c>
      <c r="G27" s="6"/>
      <c r="H27" s="6"/>
      <c r="I27" s="6"/>
      <c r="J27" s="6"/>
    </row>
    <row r="28" spans="1:10" ht="409" hidden="1" customHeight="1" x14ac:dyDescent="0.35">
      <c r="A28" s="5">
        <v>27</v>
      </c>
      <c r="B28" s="5" t="s">
        <v>107</v>
      </c>
      <c r="C28" s="5" t="s">
        <v>29</v>
      </c>
      <c r="D28" s="5" t="s">
        <v>108</v>
      </c>
      <c r="E28" s="5">
        <v>20000</v>
      </c>
      <c r="F28" s="5" t="s">
        <v>109</v>
      </c>
      <c r="G28" s="6"/>
      <c r="H28" s="6"/>
      <c r="I28" s="6"/>
      <c r="J28" s="6"/>
    </row>
    <row r="29" spans="1:10" ht="325" hidden="1" customHeight="1" x14ac:dyDescent="0.35">
      <c r="A29" s="5">
        <v>28</v>
      </c>
      <c r="B29" s="5" t="s">
        <v>110</v>
      </c>
      <c r="C29" s="5" t="s">
        <v>29</v>
      </c>
      <c r="D29" s="5" t="s">
        <v>111</v>
      </c>
      <c r="E29" s="5">
        <v>854.46600000000001</v>
      </c>
      <c r="F29" s="5" t="s">
        <v>112</v>
      </c>
      <c r="G29" s="6"/>
      <c r="H29" s="6"/>
      <c r="I29" s="6"/>
      <c r="J29" s="6"/>
    </row>
    <row r="30" spans="1:10" ht="409" hidden="1" customHeight="1" x14ac:dyDescent="0.35">
      <c r="A30" s="5">
        <v>29</v>
      </c>
      <c r="B30" s="5" t="s">
        <v>113</v>
      </c>
      <c r="C30" s="5" t="s">
        <v>29</v>
      </c>
      <c r="D30" s="5" t="s">
        <v>114</v>
      </c>
      <c r="E30" s="5">
        <v>6250</v>
      </c>
      <c r="F30" s="5" t="s">
        <v>115</v>
      </c>
      <c r="G30" s="6"/>
      <c r="H30" s="6"/>
      <c r="I30" s="6"/>
      <c r="J30" s="6"/>
    </row>
    <row r="31" spans="1:10" ht="409" hidden="1" customHeight="1" x14ac:dyDescent="0.35">
      <c r="A31" s="5">
        <v>30</v>
      </c>
      <c r="B31" s="5" t="s">
        <v>116</v>
      </c>
      <c r="C31" s="5" t="s">
        <v>29</v>
      </c>
      <c r="D31" s="5" t="s">
        <v>117</v>
      </c>
      <c r="E31" s="5">
        <v>-7.36</v>
      </c>
      <c r="F31" s="5" t="s">
        <v>118</v>
      </c>
      <c r="G31" s="6"/>
      <c r="H31" s="6"/>
      <c r="I31" s="6"/>
      <c r="J31" s="6"/>
    </row>
    <row r="32" spans="1:10" ht="208" customHeight="1" x14ac:dyDescent="0.35">
      <c r="A32" s="5">
        <v>31</v>
      </c>
      <c r="B32" s="5" t="s">
        <v>119</v>
      </c>
      <c r="C32" s="5" t="s">
        <v>120</v>
      </c>
      <c r="D32" s="5" t="s">
        <v>121</v>
      </c>
      <c r="E32" s="5">
        <v>2040</v>
      </c>
      <c r="F32" s="5" t="s">
        <v>122</v>
      </c>
      <c r="G32" s="6" t="s">
        <v>181</v>
      </c>
      <c r="H32" s="6"/>
      <c r="I32" s="6"/>
      <c r="J32" s="6"/>
    </row>
    <row r="33" spans="1:10" ht="169" customHeight="1" x14ac:dyDescent="0.35">
      <c r="A33" s="5">
        <v>32</v>
      </c>
      <c r="B33" s="5" t="s">
        <v>123</v>
      </c>
      <c r="C33" s="5" t="s">
        <v>120</v>
      </c>
      <c r="D33" s="5" t="s">
        <v>124</v>
      </c>
      <c r="E33" s="5">
        <v>2</v>
      </c>
      <c r="F33" s="5" t="s">
        <v>125</v>
      </c>
      <c r="G33" s="6" t="s">
        <v>180</v>
      </c>
      <c r="H33" s="6"/>
      <c r="I33" s="6"/>
      <c r="J33" s="6"/>
    </row>
    <row r="34" spans="1:10" ht="143" customHeight="1" x14ac:dyDescent="0.35">
      <c r="A34" s="5">
        <v>33</v>
      </c>
      <c r="B34" s="5" t="s">
        <v>126</v>
      </c>
      <c r="C34" s="5" t="s">
        <v>120</v>
      </c>
      <c r="D34" s="5" t="s">
        <v>127</v>
      </c>
      <c r="E34" s="5">
        <v>92400</v>
      </c>
      <c r="F34" s="5" t="s">
        <v>128</v>
      </c>
      <c r="G34" s="6" t="s">
        <v>180</v>
      </c>
      <c r="H34" s="6"/>
      <c r="I34" s="6"/>
      <c r="J34" s="6"/>
    </row>
    <row r="35" spans="1:10" ht="117" customHeight="1" x14ac:dyDescent="0.35">
      <c r="A35" s="5">
        <v>34</v>
      </c>
      <c r="B35" s="5" t="s">
        <v>129</v>
      </c>
      <c r="C35" s="5" t="s">
        <v>120</v>
      </c>
      <c r="D35" s="5" t="s">
        <v>130</v>
      </c>
      <c r="E35" s="5">
        <v>6</v>
      </c>
      <c r="F35" s="5" t="s">
        <v>131</v>
      </c>
      <c r="G35" s="6" t="s">
        <v>180</v>
      </c>
      <c r="H35" s="6"/>
      <c r="I35" s="6"/>
      <c r="J35" s="6"/>
    </row>
    <row r="36" spans="1:10" ht="169" customHeight="1" x14ac:dyDescent="0.35">
      <c r="A36" s="5">
        <v>35</v>
      </c>
      <c r="B36" s="5" t="s">
        <v>132</v>
      </c>
      <c r="C36" s="5" t="s">
        <v>120</v>
      </c>
      <c r="D36" s="5" t="s">
        <v>133</v>
      </c>
      <c r="E36" s="5">
        <v>70</v>
      </c>
      <c r="F36" s="5" t="s">
        <v>134</v>
      </c>
      <c r="G36" s="6"/>
      <c r="H36" s="6"/>
      <c r="I36" s="6"/>
      <c r="J36" s="6"/>
    </row>
    <row r="37" spans="1:10" ht="117" customHeight="1" x14ac:dyDescent="0.35">
      <c r="A37" s="5">
        <v>36</v>
      </c>
      <c r="B37" s="5" t="s">
        <v>135</v>
      </c>
      <c r="C37" s="5" t="s">
        <v>120</v>
      </c>
      <c r="D37" s="5" t="s">
        <v>136</v>
      </c>
      <c r="E37" s="5">
        <v>16</v>
      </c>
      <c r="F37" s="5" t="s">
        <v>137</v>
      </c>
      <c r="G37" s="6"/>
      <c r="H37" s="6"/>
      <c r="I37" s="6"/>
      <c r="J37" s="6"/>
    </row>
    <row r="38" spans="1:10" ht="221" customHeight="1" x14ac:dyDescent="0.35">
      <c r="A38" s="5">
        <v>37</v>
      </c>
      <c r="B38" s="5" t="s">
        <v>138</v>
      </c>
      <c r="C38" s="5" t="s">
        <v>120</v>
      </c>
      <c r="D38" s="5" t="s">
        <v>139</v>
      </c>
      <c r="E38" s="5">
        <v>4</v>
      </c>
      <c r="F38" s="5" t="s">
        <v>140</v>
      </c>
      <c r="G38" s="6"/>
      <c r="H38" s="6"/>
      <c r="I38" s="6"/>
      <c r="J38" s="6"/>
    </row>
    <row r="39" spans="1:10" ht="130" customHeight="1" x14ac:dyDescent="0.35">
      <c r="A39" s="5">
        <v>38</v>
      </c>
      <c r="B39" s="5" t="s">
        <v>141</v>
      </c>
      <c r="C39" s="5" t="s">
        <v>120</v>
      </c>
      <c r="D39" s="5" t="s">
        <v>142</v>
      </c>
      <c r="E39" s="5">
        <v>15</v>
      </c>
      <c r="F39" s="5" t="s">
        <v>143</v>
      </c>
      <c r="G39" s="6"/>
      <c r="H39" s="6"/>
      <c r="I39" s="6"/>
      <c r="J39" s="6"/>
    </row>
    <row r="40" spans="1:10" ht="195" customHeight="1" x14ac:dyDescent="0.35">
      <c r="A40" s="5">
        <v>39</v>
      </c>
      <c r="B40" s="5" t="s">
        <v>144</v>
      </c>
      <c r="C40" s="5" t="s">
        <v>120</v>
      </c>
      <c r="D40" s="5" t="s">
        <v>145</v>
      </c>
      <c r="E40" s="5">
        <v>56</v>
      </c>
      <c r="F40" s="5" t="s">
        <v>146</v>
      </c>
      <c r="G40" s="6" t="s">
        <v>180</v>
      </c>
      <c r="H40" s="6"/>
      <c r="I40" s="6"/>
      <c r="J40" s="6"/>
    </row>
    <row r="41" spans="1:10" ht="221" customHeight="1" x14ac:dyDescent="0.35">
      <c r="A41" s="5">
        <v>40</v>
      </c>
      <c r="B41" s="5" t="s">
        <v>147</v>
      </c>
      <c r="C41" s="5" t="s">
        <v>120</v>
      </c>
      <c r="D41" s="5" t="s">
        <v>148</v>
      </c>
      <c r="E41" s="5">
        <v>340</v>
      </c>
      <c r="F41" s="5" t="s">
        <v>149</v>
      </c>
      <c r="G41" s="6"/>
      <c r="H41" s="6"/>
      <c r="I41" s="6"/>
      <c r="J41" s="6"/>
    </row>
    <row r="42" spans="1:10" ht="78" customHeight="1" x14ac:dyDescent="0.35">
      <c r="A42" s="5">
        <v>41</v>
      </c>
      <c r="B42" s="5" t="s">
        <v>150</v>
      </c>
      <c r="C42" s="5" t="s">
        <v>120</v>
      </c>
      <c r="D42" s="5" t="s">
        <v>151</v>
      </c>
      <c r="E42" s="5">
        <v>25</v>
      </c>
      <c r="F42" s="5" t="s">
        <v>152</v>
      </c>
      <c r="G42" s="6"/>
      <c r="H42" s="6"/>
      <c r="I42" s="6"/>
      <c r="J42" s="6"/>
    </row>
    <row r="43" spans="1:10" ht="143" customHeight="1" x14ac:dyDescent="0.35">
      <c r="A43" s="5">
        <v>42</v>
      </c>
      <c r="B43" s="5" t="s">
        <v>153</v>
      </c>
      <c r="C43" s="5" t="s">
        <v>120</v>
      </c>
      <c r="D43" s="5" t="s">
        <v>154</v>
      </c>
      <c r="E43" s="5">
        <v>90</v>
      </c>
      <c r="F43" s="5" t="s">
        <v>155</v>
      </c>
      <c r="G43" s="6"/>
      <c r="H43" s="6"/>
      <c r="I43" s="6"/>
      <c r="J43" s="6"/>
    </row>
    <row r="44" spans="1:10" ht="130" customHeight="1" x14ac:dyDescent="0.35">
      <c r="A44" s="5">
        <v>43</v>
      </c>
      <c r="B44" s="5" t="s">
        <v>156</v>
      </c>
      <c r="C44" s="5" t="s">
        <v>120</v>
      </c>
      <c r="D44" s="5" t="s">
        <v>157</v>
      </c>
      <c r="E44" s="5">
        <v>52</v>
      </c>
      <c r="F44" s="5" t="s">
        <v>158</v>
      </c>
      <c r="G44" s="6"/>
      <c r="H44" s="6"/>
      <c r="I44" s="6"/>
      <c r="J44" s="6"/>
    </row>
    <row r="45" spans="1:10" ht="208" customHeight="1" x14ac:dyDescent="0.35">
      <c r="A45" s="5">
        <v>44</v>
      </c>
      <c r="B45" s="5" t="s">
        <v>159</v>
      </c>
      <c r="C45" s="5" t="s">
        <v>120</v>
      </c>
      <c r="D45" s="5" t="s">
        <v>160</v>
      </c>
      <c r="E45" s="5">
        <v>5</v>
      </c>
      <c r="F45" s="5" t="s">
        <v>161</v>
      </c>
      <c r="G45" s="6"/>
      <c r="H45" s="6"/>
      <c r="I45" s="6"/>
      <c r="J45" s="6"/>
    </row>
    <row r="46" spans="1:10" ht="156" customHeight="1" x14ac:dyDescent="0.35">
      <c r="A46" s="5">
        <v>45</v>
      </c>
      <c r="B46" s="5" t="s">
        <v>162</v>
      </c>
      <c r="C46" s="5" t="s">
        <v>120</v>
      </c>
      <c r="D46" s="5" t="s">
        <v>163</v>
      </c>
      <c r="E46" s="5">
        <v>445</v>
      </c>
      <c r="F46" s="5" t="s">
        <v>164</v>
      </c>
      <c r="G46" s="6"/>
      <c r="H46" s="6"/>
      <c r="I46" s="6"/>
      <c r="J46" s="6"/>
    </row>
    <row r="47" spans="1:10" ht="182" customHeight="1" x14ac:dyDescent="0.35">
      <c r="A47" s="5">
        <v>46</v>
      </c>
      <c r="B47" s="5" t="s">
        <v>165</v>
      </c>
      <c r="C47" s="5" t="s">
        <v>120</v>
      </c>
      <c r="D47" s="5" t="s">
        <v>166</v>
      </c>
      <c r="E47" s="5">
        <v>42592</v>
      </c>
      <c r="F47" s="5" t="s">
        <v>167</v>
      </c>
      <c r="G47" s="6"/>
      <c r="H47" s="6"/>
      <c r="I47" s="6"/>
      <c r="J47" s="6"/>
    </row>
    <row r="48" spans="1:10" ht="169" customHeight="1" x14ac:dyDescent="0.35">
      <c r="A48" s="5">
        <v>47</v>
      </c>
      <c r="B48" s="5" t="s">
        <v>168</v>
      </c>
      <c r="C48" s="5" t="s">
        <v>120</v>
      </c>
      <c r="D48" s="5" t="s">
        <v>169</v>
      </c>
      <c r="E48" s="5">
        <v>60</v>
      </c>
      <c r="F48" s="5" t="s">
        <v>170</v>
      </c>
      <c r="G48" s="6"/>
      <c r="H48" s="6"/>
      <c r="I48" s="6"/>
      <c r="J48" s="6"/>
    </row>
    <row r="49" spans="1:10" ht="260" customHeight="1" x14ac:dyDescent="0.35">
      <c r="A49" s="5">
        <v>48</v>
      </c>
      <c r="B49" s="5" t="s">
        <v>171</v>
      </c>
      <c r="C49" s="5" t="s">
        <v>120</v>
      </c>
      <c r="D49" s="5" t="s">
        <v>172</v>
      </c>
      <c r="E49" s="5">
        <v>23</v>
      </c>
      <c r="F49" s="5" t="s">
        <v>173</v>
      </c>
      <c r="G49" s="6"/>
      <c r="H49" s="6"/>
      <c r="I49" s="6"/>
      <c r="J49" s="6"/>
    </row>
    <row r="50" spans="1:10" ht="208" customHeight="1" x14ac:dyDescent="0.35">
      <c r="A50" s="5">
        <v>49</v>
      </c>
      <c r="B50" s="5" t="s">
        <v>174</v>
      </c>
      <c r="C50" s="5" t="s">
        <v>120</v>
      </c>
      <c r="D50" s="5" t="s">
        <v>175</v>
      </c>
      <c r="E50" s="5">
        <v>4</v>
      </c>
      <c r="F50" s="5" t="s">
        <v>176</v>
      </c>
      <c r="G50" s="6"/>
      <c r="H50" s="6"/>
      <c r="I50" s="6"/>
      <c r="J50" s="6"/>
    </row>
    <row r="51" spans="1:10" ht="117" customHeight="1" x14ac:dyDescent="0.35">
      <c r="A51" s="5">
        <v>50</v>
      </c>
      <c r="B51" s="5" t="s">
        <v>177</v>
      </c>
      <c r="C51" s="5" t="s">
        <v>120</v>
      </c>
      <c r="D51" s="5" t="s">
        <v>178</v>
      </c>
      <c r="E51" s="5">
        <v>6</v>
      </c>
      <c r="F51" s="5" t="s">
        <v>179</v>
      </c>
      <c r="G51" s="6"/>
      <c r="H51" s="6"/>
      <c r="I51" s="6"/>
      <c r="J51" s="6"/>
    </row>
  </sheetData>
  <autoFilter ref="A1:J51">
    <filterColumn colId="1">
      <filters>
        <filter val="gsmp2-12-17"/>
        <filter val="gsmp2-17-29"/>
        <filter val="gsmp2-19-35"/>
        <filter val="gsmp2-26-26"/>
        <filter val="gsmp2-29-47"/>
        <filter val="gsmp2-32-17"/>
        <filter val="gsmp2-3-3"/>
        <filter val="gsmp2-34-12"/>
        <filter val="gsmp2-3-47"/>
        <filter val="gsmp2-35-26"/>
        <filter val="gsmp2-41-28"/>
        <filter val="gsmp2-43-44"/>
        <filter val="gsmp2-4-37"/>
        <filter val="gsmp2-45-7"/>
        <filter val="gsmp2-47-37"/>
        <filter val="gsmp2-5-36"/>
        <filter val="gsmp2-5-46"/>
        <filter val="gsmp2-7-2"/>
        <filter val="gsmp2-7-21"/>
        <filter val="gsmp2-7-35"/>
      </filters>
    </filterColumn>
  </autoFilter>
  <dataValidations count="1">
    <dataValidation type="list" allowBlank="1" showErrorMessage="1" errorTitle="Y or N" error="Please enter Y or N" sqref="G2:G51">
      <formula1>"Y,N"</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chaoyingzheng115@gmail.com</cp:lastModifiedBy>
  <dcterms:created xsi:type="dcterms:W3CDTF">2026-10-13T19:44:13Z</dcterms:created>
  <dcterms:modified xsi:type="dcterms:W3CDTF">2026-10-13T20:13:50Z</dcterms:modified>
</cp:coreProperties>
</file>